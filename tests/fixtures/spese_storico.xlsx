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pese Condivise" sheetId="1" state="visible" r:id="rId1"/>
    <sheet name="Spese Personali" sheetId="2" state="visible" r:id="rId2"/>
    <sheet name="Bonifici" sheetId="3" state="visible" r:id="rId3"/>
    <sheet name="Riepilogo Fina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\ &quot;EUR&quot;"/>
    <numFmt numFmtId="165" formatCode="d/m/yyyy"/>
  </numFmts>
  <fonts count="17">
    <font>
      <name val="Calibri"/>
      <color theme="1"/>
      <sz val="11"/>
      <scheme val="minor"/>
    </font>
    <font>
      <name val="Calibri"/>
      <b val="1"/>
      <color rgb="FF2F5496"/>
      <sz val="14"/>
    </font>
    <font>
      <name val="Calibri"/>
      <b val="1"/>
      <color rgb="FF2F5496"/>
      <sz val="12"/>
    </font>
    <font/>
    <font>
      <name val="Calibri"/>
      <b val="1"/>
      <color rgb="FFFFFFFF"/>
      <sz val="11"/>
    </font>
    <font>
      <name val="Calibri"/>
      <color theme="1"/>
      <sz val="11"/>
    </font>
    <font>
      <name val="Calibri"/>
      <b val="1"/>
      <color theme="1"/>
      <sz val="11"/>
    </font>
    <font>
      <name val="Calibri"/>
      <b val="1"/>
      <color rgb="FFC00000"/>
      <sz val="14"/>
    </font>
    <font>
      <name val="Calibri"/>
      <b val="1"/>
      <color theme="1"/>
      <sz val="12"/>
    </font>
    <font>
      <name val="Calibri"/>
      <i val="1"/>
      <color theme="1"/>
      <sz val="11"/>
    </font>
    <font>
      <name val="Calibri"/>
      <b val="1"/>
      <color rgb="FFC00000"/>
      <sz val="12"/>
    </font>
    <font>
      <name val="Calibri"/>
      <b val="1"/>
      <color theme="1"/>
      <sz val="13"/>
    </font>
    <font>
      <name val="Calibri"/>
      <b val="1"/>
      <color rgb="FF2F5496"/>
      <sz val="13"/>
    </font>
    <font>
      <name val="Calibri"/>
      <b val="1"/>
      <color rgb="FF2F5496"/>
      <sz val="11"/>
    </font>
    <font>
      <name val="Calibri"/>
      <b val="1"/>
      <color rgb="FF0000FF"/>
      <sz val="12"/>
    </font>
    <font>
      <name val="Calibri"/>
      <b val="1"/>
      <color theme="1"/>
      <sz val="14"/>
    </font>
    <font>
      <name val="Calibri"/>
      <i val="1"/>
      <color theme="1"/>
      <sz val="10"/>
    </font>
  </fonts>
  <fills count="8">
    <fill>
      <patternFill/>
    </fill>
    <fill>
      <patternFill patternType="lightGray"/>
    </fill>
    <fill>
      <patternFill patternType="solid">
        <fgColor rgb="FFD6E4F0"/>
        <bgColor rgb="FFD6E4F0"/>
      </patternFill>
    </fill>
    <fill>
      <patternFill patternType="solid">
        <fgColor rgb="FF2F5496"/>
        <bgColor rgb="FF2F5496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3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3" fillId="0" borderId="2" pivotButton="0" quotePrefix="0" xfId="0"/>
    <xf numFmtId="0" fontId="3" fillId="0" borderId="3" pivotButton="0" quotePrefix="0" xfId="0"/>
    <xf numFmtId="0" fontId="4" fillId="3" borderId="4" applyAlignment="1" pivotButton="0" quotePrefix="0" xfId="0">
      <alignment horizontal="center"/>
    </xf>
    <xf numFmtId="0" fontId="5" fillId="0" borderId="4" pivotButton="0" quotePrefix="0" xfId="0"/>
    <xf numFmtId="164" fontId="5" fillId="0" borderId="4" pivotButton="0" quotePrefix="0" xfId="0"/>
    <xf numFmtId="0" fontId="5" fillId="4" borderId="4" pivotButton="0" quotePrefix="0" xfId="0"/>
    <xf numFmtId="0" fontId="6" fillId="5" borderId="4" pivotButton="0" quotePrefix="0" xfId="0"/>
    <xf numFmtId="164" fontId="6" fillId="5" borderId="4" pivotButton="0" quotePrefix="0" xfId="0"/>
    <xf numFmtId="164" fontId="5" fillId="0" borderId="4" pivotButton="0" quotePrefix="0" xfId="0"/>
    <xf numFmtId="165" fontId="5" fillId="0" borderId="4" pivotButton="0" quotePrefix="0" xfId="0"/>
    <xf numFmtId="0" fontId="5" fillId="0" borderId="4" pivotButton="0" quotePrefix="0" xfId="0"/>
    <xf numFmtId="0" fontId="7" fillId="0" borderId="0" pivotButton="0" quotePrefix="0" xfId="0"/>
    <xf numFmtId="164" fontId="7" fillId="0" borderId="0" pivotButton="0" quotePrefix="0" xfId="0"/>
    <xf numFmtId="0" fontId="8" fillId="0" borderId="0" pivotButton="0" quotePrefix="0" xfId="0"/>
    <xf numFmtId="164" fontId="8" fillId="0" borderId="0" pivotButton="0" quotePrefix="0" xfId="0"/>
    <xf numFmtId="0" fontId="9" fillId="0" borderId="0" pivotButton="0" quotePrefix="0" xfId="0"/>
    <xf numFmtId="164" fontId="10" fillId="0" borderId="0" pivotButton="0" quotePrefix="0" xfId="0"/>
    <xf numFmtId="164" fontId="2" fillId="0" borderId="0" pivotButton="0" quotePrefix="0" xfId="0"/>
    <xf numFmtId="0" fontId="11" fillId="0" borderId="0" pivotButton="0" quotePrefix="0" xfId="0"/>
    <xf numFmtId="164" fontId="12" fillId="0" borderId="0" pivotButton="0" quotePrefix="0" xfId="0"/>
    <xf numFmtId="0" fontId="13" fillId="0" borderId="0" applyAlignment="1" pivotButton="0" quotePrefix="0" xfId="0">
      <alignment horizontal="center"/>
    </xf>
    <xf numFmtId="9" fontId="14" fillId="6" borderId="5" applyAlignment="1" pivotButton="0" quotePrefix="0" xfId="0">
      <alignment horizontal="center"/>
    </xf>
    <xf numFmtId="0" fontId="5" fillId="0" borderId="6" pivotButton="0" quotePrefix="0" xfId="0"/>
    <xf numFmtId="4" fontId="5" fillId="0" borderId="0" pivotButton="0" quotePrefix="0" xfId="0"/>
    <xf numFmtId="0" fontId="8" fillId="5" borderId="4" pivotButton="0" quotePrefix="0" xfId="0"/>
    <xf numFmtId="164" fontId="8" fillId="5" borderId="4" pivotButton="0" quotePrefix="0" xfId="0"/>
    <xf numFmtId="0" fontId="1" fillId="0" borderId="0" pivotButton="0" quotePrefix="0" xfId="0"/>
    <xf numFmtId="0" fontId="15" fillId="7" borderId="4" pivotButton="0" quotePrefix="0" xfId="0"/>
    <xf numFmtId="164" fontId="15" fillId="7" borderId="4" pivotButton="0" quotePrefix="0" xfId="0"/>
    <xf numFmtId="0" fontId="16" fillId="0" borderId="0" pivotButton="0" quotePrefix="0" xfId="0"/>
    <xf numFmtId="0" fontId="0" fillId="0" borderId="0" pivotButton="0" quotePrefix="0" xfId="0"/>
    <xf numFmtId="0" fontId="2" fillId="2" borderId="4" pivotButton="0" quotePrefix="0" xfId="0"/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5"/>
  <sheetViews>
    <sheetView workbookViewId="0">
      <selection activeCell="A1" sqref="A1"/>
    </sheetView>
  </sheetViews>
  <sheetFormatPr baseColWidth="8" defaultColWidth="14.43" defaultRowHeight="15" customHeight="1"/>
  <cols>
    <col width="14" customWidth="1" style="33" min="1" max="1"/>
    <col width="42" customWidth="1" style="33" min="2" max="2"/>
    <col width="18.29" customWidth="1" style="33" min="3" max="3"/>
    <col width="12" customWidth="1" style="33" min="4" max="5"/>
    <col width="18" customWidth="1" style="33" min="6" max="6"/>
    <col width="8.710000000000001" customWidth="1" style="33" min="7" max="26"/>
  </cols>
  <sheetData>
    <row r="1" ht="14.25" customHeight="1" s="33">
      <c r="A1" s="1" t="inlineStr">
        <is>
          <t>SPESE CONDIVISE DA DIVIDERE - Alex &amp; Blake (Ott 2025 - Apr 2026)</t>
        </is>
      </c>
    </row>
    <row r="2" ht="14.25" customHeight="1" s="33"/>
    <row r="3" ht="14.25" customHeight="1" s="33">
      <c r="A3" s="34" t="inlineStr">
        <is>
          <t>AFFITTO</t>
        </is>
      </c>
      <c r="B3" s="35" t="n"/>
      <c r="C3" s="35" t="n"/>
      <c r="D3" s="35" t="n"/>
      <c r="E3" s="35" t="n"/>
      <c r="F3" s="36" t="n"/>
    </row>
    <row r="4" ht="14.25" customHeight="1" s="33">
      <c r="A4" s="5" t="inlineStr">
        <is>
          <t>Data</t>
        </is>
      </c>
      <c r="B4" s="5" t="inlineStr">
        <is>
          <t>Descrizione</t>
        </is>
      </c>
      <c r="C4" s="5" t="inlineStr">
        <is>
          <t>Importo</t>
        </is>
      </c>
      <c r="D4" s="5" t="inlineStr">
        <is>
          <t>Fonte</t>
        </is>
      </c>
      <c r="E4" s="5" t="inlineStr">
        <is>
          <t>Pagato</t>
        </is>
      </c>
      <c r="F4" s="5" t="inlineStr">
        <is>
          <t>Note</t>
        </is>
      </c>
    </row>
    <row r="5" ht="14.25" customHeight="1" s="33">
      <c r="A5" s="13" t="inlineStr">
        <is>
          <t>16/10/2025</t>
        </is>
      </c>
      <c r="B5" s="13" t="inlineStr">
        <is>
          <t>Affitto ottobre</t>
        </is>
      </c>
      <c r="C5" s="11" t="n">
        <v>350</v>
      </c>
      <c r="D5" s="13" t="inlineStr">
        <is>
          <t>Banca</t>
        </is>
      </c>
      <c r="E5" s="8" t="n"/>
      <c r="F5" s="13" t="n"/>
    </row>
    <row r="6" ht="14.25" customHeight="1" s="33">
      <c r="A6" s="13" t="inlineStr">
        <is>
          <t>17/11/2025</t>
        </is>
      </c>
      <c r="B6" s="13" t="inlineStr">
        <is>
          <t>Affitto novembre</t>
        </is>
      </c>
      <c r="C6" s="11" t="n">
        <v>350</v>
      </c>
      <c r="D6" s="13" t="inlineStr">
        <is>
          <t>Banca</t>
        </is>
      </c>
      <c r="E6" s="8" t="n"/>
      <c r="F6" s="13" t="n"/>
    </row>
    <row r="7" ht="14.25" customHeight="1" s="33">
      <c r="A7" s="13" t="inlineStr">
        <is>
          <t>15/12/2025</t>
        </is>
      </c>
      <c r="B7" s="13" t="inlineStr">
        <is>
          <t>Affitto dicembre</t>
        </is>
      </c>
      <c r="C7" s="11" t="n">
        <v>350</v>
      </c>
      <c r="D7" s="13" t="inlineStr">
        <is>
          <t>Banca</t>
        </is>
      </c>
      <c r="E7" s="8" t="n"/>
      <c r="F7" s="13" t="n"/>
    </row>
    <row r="8" ht="14.25" customHeight="1" s="33">
      <c r="A8" s="13" t="inlineStr">
        <is>
          <t>15/01/2026</t>
        </is>
      </c>
      <c r="B8" s="13" t="inlineStr">
        <is>
          <t>Affitto gennaio</t>
        </is>
      </c>
      <c r="C8" s="11" t="n">
        <v>350</v>
      </c>
      <c r="D8" s="13" t="inlineStr">
        <is>
          <t>Banca</t>
        </is>
      </c>
      <c r="E8" s="8" t="n"/>
      <c r="F8" s="13" t="n"/>
    </row>
    <row r="9" ht="14.25" customHeight="1" s="33">
      <c r="A9" s="13" t="inlineStr">
        <is>
          <t>16/02/2026</t>
        </is>
      </c>
      <c r="B9" s="13" t="inlineStr">
        <is>
          <t>Affitto febbraio</t>
        </is>
      </c>
      <c r="C9" s="11" t="n">
        <v>350</v>
      </c>
      <c r="D9" s="13" t="inlineStr">
        <is>
          <t>Banca</t>
        </is>
      </c>
      <c r="E9" s="8" t="n"/>
      <c r="F9" s="13" t="n"/>
    </row>
    <row r="10" ht="14.25" customHeight="1" s="33">
      <c r="A10" s="13" t="inlineStr">
        <is>
          <t>16/03/2026</t>
        </is>
      </c>
      <c r="B10" s="13" t="inlineStr">
        <is>
          <t>Affitto marzo</t>
        </is>
      </c>
      <c r="C10" s="11" t="n">
        <v>350</v>
      </c>
      <c r="D10" s="13" t="inlineStr">
        <is>
          <t>Banca</t>
        </is>
      </c>
      <c r="E10" s="8" t="n"/>
      <c r="F10" s="13" t="n"/>
    </row>
    <row r="11" ht="14.25" customHeight="1" s="33">
      <c r="A11" s="9" t="inlineStr">
        <is>
          <t>TOTALE</t>
        </is>
      </c>
      <c r="B11" s="9" t="n"/>
      <c r="C11" s="10">
        <f>SUM(C5:C10)</f>
        <v/>
      </c>
      <c r="D11" s="9" t="n"/>
      <c r="E11" s="9" t="n"/>
      <c r="F11" s="9" t="n"/>
    </row>
    <row r="12" ht="14.25" customHeight="1" s="33"/>
    <row r="13" ht="14.25" customHeight="1" s="33">
      <c r="A13" s="34" t="inlineStr">
        <is>
          <t>SPESA FISSA MENSILE (100 EUR/mese)</t>
        </is>
      </c>
      <c r="B13" s="35" t="n"/>
      <c r="C13" s="35" t="n"/>
      <c r="D13" s="35" t="n"/>
      <c r="E13" s="35" t="n"/>
      <c r="F13" s="36" t="n"/>
    </row>
    <row r="14" ht="14.25" customHeight="1" s="33">
      <c r="A14" s="5" t="inlineStr">
        <is>
          <t>Data</t>
        </is>
      </c>
      <c r="B14" s="5" t="inlineStr">
        <is>
          <t>Descrizione</t>
        </is>
      </c>
      <c r="C14" s="5" t="inlineStr">
        <is>
          <t>Importo</t>
        </is>
      </c>
      <c r="D14" s="5" t="inlineStr">
        <is>
          <t>Fonte</t>
        </is>
      </c>
      <c r="E14" s="5" t="inlineStr">
        <is>
          <t>Pagato</t>
        </is>
      </c>
      <c r="F14" s="5" t="inlineStr">
        <is>
          <t>Note</t>
        </is>
      </c>
    </row>
    <row r="15" ht="14.25" customHeight="1" s="33">
      <c r="A15" s="13" t="inlineStr">
        <is>
          <t>01/10/2025</t>
        </is>
      </c>
      <c r="B15" s="13" t="inlineStr">
        <is>
          <t>Spesa fissa ottobre</t>
        </is>
      </c>
      <c r="C15" s="11" t="n">
        <v>100</v>
      </c>
      <c r="D15" s="13" t="inlineStr">
        <is>
          <t>Manuale</t>
        </is>
      </c>
      <c r="E15" s="8" t="n"/>
      <c r="F15" s="13" t="n"/>
    </row>
    <row r="16" ht="14.25" customHeight="1" s="33">
      <c r="A16" s="13" t="inlineStr">
        <is>
          <t>01/11/2025</t>
        </is>
      </c>
      <c r="B16" s="13" t="inlineStr">
        <is>
          <t>Spesa fissa novembre</t>
        </is>
      </c>
      <c r="C16" s="11" t="n">
        <v>100</v>
      </c>
      <c r="D16" s="13" t="inlineStr">
        <is>
          <t>Manuale</t>
        </is>
      </c>
      <c r="E16" s="8" t="n"/>
      <c r="F16" s="13" t="n"/>
    </row>
    <row r="17" ht="14.25" customHeight="1" s="33">
      <c r="A17" s="13" t="inlineStr">
        <is>
          <t>01/12/2025</t>
        </is>
      </c>
      <c r="B17" s="13" t="inlineStr">
        <is>
          <t>Spesa fissa dicembre</t>
        </is>
      </c>
      <c r="C17" s="11" t="n">
        <v>100</v>
      </c>
      <c r="D17" s="13" t="inlineStr">
        <is>
          <t>Manuale</t>
        </is>
      </c>
      <c r="E17" s="8" t="n"/>
      <c r="F17" s="13" t="n"/>
    </row>
    <row r="18" ht="14.25" customHeight="1" s="33">
      <c r="A18" s="13" t="inlineStr">
        <is>
          <t>01/01/2026</t>
        </is>
      </c>
      <c r="B18" s="13" t="inlineStr">
        <is>
          <t>Spesa fissa gennaio</t>
        </is>
      </c>
      <c r="C18" s="11" t="n">
        <v>100</v>
      </c>
      <c r="D18" s="13" t="inlineStr">
        <is>
          <t>Manuale</t>
        </is>
      </c>
      <c r="E18" s="8" t="n"/>
      <c r="F18" s="13" t="n"/>
    </row>
    <row r="19" ht="14.25" customHeight="1" s="33">
      <c r="A19" s="13" t="inlineStr">
        <is>
          <t>01/02/2026</t>
        </is>
      </c>
      <c r="B19" s="13" t="inlineStr">
        <is>
          <t>Spesa fissa febbraio</t>
        </is>
      </c>
      <c r="C19" s="11" t="n">
        <v>100</v>
      </c>
      <c r="D19" s="13" t="inlineStr">
        <is>
          <t>Manuale</t>
        </is>
      </c>
      <c r="E19" s="8" t="n"/>
      <c r="F19" s="13" t="n"/>
    </row>
    <row r="20" ht="14.25" customHeight="1" s="33">
      <c r="A20" s="13" t="inlineStr">
        <is>
          <t>01/03/2026</t>
        </is>
      </c>
      <c r="B20" s="13" t="inlineStr">
        <is>
          <t>Spesa fissa marzo</t>
        </is>
      </c>
      <c r="C20" s="11" t="n">
        <v>100</v>
      </c>
      <c r="D20" s="13" t="inlineStr">
        <is>
          <t>Manuale</t>
        </is>
      </c>
      <c r="E20" s="8" t="n"/>
      <c r="F20" s="13" t="n"/>
    </row>
    <row r="21" ht="14.25" customHeight="1" s="33">
      <c r="A21" s="13" t="inlineStr">
        <is>
          <t>01/04/2026</t>
        </is>
      </c>
      <c r="B21" s="13" t="inlineStr">
        <is>
          <t>Spesa fissa aprile</t>
        </is>
      </c>
      <c r="C21" s="11" t="n">
        <v>100</v>
      </c>
      <c r="D21" s="13" t="inlineStr">
        <is>
          <t>Manuale</t>
        </is>
      </c>
      <c r="E21" s="8" t="n"/>
      <c r="F21" s="13" t="n"/>
    </row>
    <row r="22" ht="14.25" customHeight="1" s="33">
      <c r="A22" s="9" t="inlineStr">
        <is>
          <t>TOTALE</t>
        </is>
      </c>
      <c r="B22" s="9" t="n"/>
      <c r="C22" s="10">
        <f>SUM(C15:C21)</f>
        <v/>
      </c>
      <c r="D22" s="9" t="n"/>
      <c r="E22" s="9" t="n"/>
      <c r="F22" s="9" t="n"/>
    </row>
    <row r="23" ht="14.25" customHeight="1" s="33"/>
    <row r="24" ht="14.25" customHeight="1" s="33">
      <c r="A24" s="34" t="inlineStr">
        <is>
          <t>SUPERMERCATO / ALIMENTARI</t>
        </is>
      </c>
      <c r="B24" s="35" t="n"/>
      <c r="C24" s="35" t="n"/>
      <c r="D24" s="35" t="n"/>
      <c r="E24" s="35" t="n"/>
      <c r="F24" s="36" t="n"/>
    </row>
    <row r="25" ht="14.25" customHeight="1" s="33">
      <c r="A25" s="5" t="inlineStr">
        <is>
          <t>Data</t>
        </is>
      </c>
      <c r="B25" s="5" t="inlineStr">
        <is>
          <t>Descrizione</t>
        </is>
      </c>
      <c r="C25" s="5" t="inlineStr">
        <is>
          <t>Importo</t>
        </is>
      </c>
      <c r="D25" s="5" t="inlineStr">
        <is>
          <t>Fonte</t>
        </is>
      </c>
      <c r="E25" s="5" t="inlineStr">
        <is>
          <t>Pagato</t>
        </is>
      </c>
      <c r="F25" s="5" t="inlineStr">
        <is>
          <t>Note</t>
        </is>
      </c>
    </row>
    <row r="26" ht="14.25" customHeight="1" s="33">
      <c r="A26" s="13" t="inlineStr">
        <is>
          <t>02/10/2025</t>
        </is>
      </c>
      <c r="B26" s="13" t="inlineStr">
        <is>
          <t>COOP Foligno</t>
        </is>
      </c>
      <c r="C26" s="11" t="n">
        <v>10.04</v>
      </c>
      <c r="D26" s="13" t="inlineStr">
        <is>
          <t>Banca</t>
        </is>
      </c>
      <c r="E26" s="8" t="n"/>
      <c r="F26" s="13" t="n"/>
    </row>
    <row r="27" ht="14.25" customHeight="1" s="33">
      <c r="A27" s="13" t="inlineStr">
        <is>
          <t>05/10/2025</t>
        </is>
      </c>
      <c r="B27" s="13" t="inlineStr">
        <is>
          <t>COOP Foligno</t>
        </is>
      </c>
      <c r="C27" s="11" t="n">
        <v>80.84999999999999</v>
      </c>
      <c r="D27" s="13" t="inlineStr">
        <is>
          <t>Banca</t>
        </is>
      </c>
      <c r="E27" s="8" t="n"/>
      <c r="F27" s="13" t="n"/>
    </row>
    <row r="28" ht="14.25" customHeight="1" s="33">
      <c r="A28" s="13" t="inlineStr">
        <is>
          <t>06/10/2025</t>
        </is>
      </c>
      <c r="B28" s="13" t="inlineStr">
        <is>
          <t>MAURY'S Foligno</t>
        </is>
      </c>
      <c r="C28" s="11" t="n">
        <v>39.28</v>
      </c>
      <c r="D28" s="13" t="inlineStr">
        <is>
          <t>Banca</t>
        </is>
      </c>
      <c r="E28" s="8" t="n"/>
      <c r="F28" s="13" t="n"/>
    </row>
    <row r="29" ht="14.25" customHeight="1" s="33">
      <c r="A29" s="13" t="inlineStr">
        <is>
          <t>10/10/2025</t>
        </is>
      </c>
      <c r="B29" s="13" t="inlineStr">
        <is>
          <t>PIZZERIA MANCINI Foligno</t>
        </is>
      </c>
      <c r="C29" s="11" t="n">
        <v>4.9</v>
      </c>
      <c r="D29" s="13" t="inlineStr">
        <is>
          <t>Banca</t>
        </is>
      </c>
      <c r="E29" s="8" t="n"/>
      <c r="F29" s="13" t="n"/>
    </row>
    <row r="30" ht="14.25" customHeight="1" s="33">
      <c r="A30" s="13" t="inlineStr">
        <is>
          <t>15/10/2025</t>
        </is>
      </c>
      <c r="B30" s="13" t="inlineStr">
        <is>
          <t>MAURY'S Foligno</t>
        </is>
      </c>
      <c r="C30" s="11" t="n">
        <v>27.13</v>
      </c>
      <c r="D30" s="13" t="inlineStr">
        <is>
          <t>Banca</t>
        </is>
      </c>
      <c r="E30" s="8" t="n"/>
      <c r="F30" s="13" t="n"/>
    </row>
    <row r="31" ht="14.25" customHeight="1" s="33">
      <c r="A31" s="13" t="inlineStr">
        <is>
          <t>15/10/2025</t>
        </is>
      </c>
      <c r="B31" s="13" t="inlineStr">
        <is>
          <t>EUROSPIN Foligno</t>
        </is>
      </c>
      <c r="C31" s="11" t="n">
        <v>62.15</v>
      </c>
      <c r="D31" s="13" t="inlineStr">
        <is>
          <t>Banca</t>
        </is>
      </c>
      <c r="E31" s="8" t="n"/>
      <c r="F31" s="13" t="n"/>
    </row>
    <row r="32" ht="14.25" customHeight="1" s="33">
      <c r="A32" s="13" t="inlineStr">
        <is>
          <t>18/10/2025</t>
        </is>
      </c>
      <c r="B32" s="13" t="inlineStr">
        <is>
          <t>INCOOP Roccastrada</t>
        </is>
      </c>
      <c r="C32" s="11" t="n">
        <v>23.43</v>
      </c>
      <c r="D32" s="13" t="inlineStr">
        <is>
          <t>Banca</t>
        </is>
      </c>
      <c r="E32" s="8" t="n"/>
      <c r="F32" s="13" t="n"/>
    </row>
    <row r="33" ht="14.25" customHeight="1" s="33">
      <c r="A33" s="13" t="inlineStr">
        <is>
          <t>22/10/2025</t>
        </is>
      </c>
      <c r="B33" s="13" t="inlineStr">
        <is>
          <t>COOP Foligno</t>
        </is>
      </c>
      <c r="C33" s="11" t="n">
        <v>40.64</v>
      </c>
      <c r="D33" s="13" t="inlineStr">
        <is>
          <t>Banca</t>
        </is>
      </c>
      <c r="E33" s="8" t="n"/>
      <c r="F33" s="13" t="n"/>
    </row>
    <row r="34" ht="14.25" customHeight="1" s="33">
      <c r="A34" s="13" t="inlineStr">
        <is>
          <t>22/10/2025</t>
        </is>
      </c>
      <c r="B34" s="13" t="inlineStr">
        <is>
          <t>TODIS Foligno</t>
        </is>
      </c>
      <c r="C34" s="11" t="n">
        <v>17.9</v>
      </c>
      <c r="D34" s="13" t="inlineStr">
        <is>
          <t>Banca</t>
        </is>
      </c>
      <c r="E34" s="8" t="n"/>
      <c r="F34" s="13" t="n"/>
    </row>
    <row r="35" ht="14.25" customHeight="1" s="33">
      <c r="A35" s="13" t="inlineStr">
        <is>
          <t>22/10/2025</t>
        </is>
      </c>
      <c r="B35" s="13" t="inlineStr">
        <is>
          <t>COOP Foligno</t>
        </is>
      </c>
      <c r="C35" s="11" t="n">
        <v>11.9</v>
      </c>
      <c r="D35" s="13" t="inlineStr">
        <is>
          <t>Banca</t>
        </is>
      </c>
      <c r="E35" s="8" t="n"/>
      <c r="F35" s="13" t="n"/>
    </row>
    <row r="36" ht="14.25" customHeight="1" s="33">
      <c r="A36" s="13" t="inlineStr">
        <is>
          <t>30/10/2025</t>
        </is>
      </c>
      <c r="B36" s="13" t="inlineStr">
        <is>
          <t>UNICOOP ETRURIA Foligno</t>
        </is>
      </c>
      <c r="C36" s="11" t="n">
        <v>69.18000000000001</v>
      </c>
      <c r="D36" s="13" t="inlineStr">
        <is>
          <t>Banca</t>
        </is>
      </c>
      <c r="E36" s="8" t="n"/>
      <c r="F36" s="13" t="n"/>
    </row>
    <row r="37" ht="14.25" customHeight="1" s="33">
      <c r="A37" s="13" t="inlineStr">
        <is>
          <t>31/10/2025</t>
        </is>
      </c>
      <c r="B37" s="13" t="inlineStr">
        <is>
          <t>Parmigiano (bonifico)</t>
        </is>
      </c>
      <c r="C37" s="11" t="n">
        <v>105</v>
      </c>
      <c r="D37" s="13" t="inlineStr">
        <is>
          <t>Banca</t>
        </is>
      </c>
      <c r="E37" s="8" t="n"/>
      <c r="F37" s="13" t="n"/>
    </row>
    <row r="38" ht="14.25" customHeight="1" s="33">
      <c r="A38" s="13" t="inlineStr">
        <is>
          <t>01/11/2025</t>
        </is>
      </c>
      <c r="B38" s="13" t="inlineStr">
        <is>
          <t>La Bottega del Gusto</t>
        </is>
      </c>
      <c r="C38" s="11" t="n">
        <v>29.5</v>
      </c>
      <c r="D38" s="13" t="inlineStr">
        <is>
          <t>Banca</t>
        </is>
      </c>
      <c r="E38" s="8" t="n"/>
      <c r="F38" s="13" t="n"/>
    </row>
    <row r="39" ht="14.25" customHeight="1" s="33">
      <c r="A39" s="13" t="inlineStr">
        <is>
          <t>05/11/2025</t>
        </is>
      </c>
      <c r="B39" s="13" t="inlineStr">
        <is>
          <t>Magazzini Example Town</t>
        </is>
      </c>
      <c r="C39" s="11" t="n">
        <v>45.15</v>
      </c>
      <c r="D39" s="13" t="inlineStr">
        <is>
          <t>Banca</t>
        </is>
      </c>
      <c r="E39" s="8" t="n"/>
      <c r="F39" s="13" t="n"/>
    </row>
    <row r="40" ht="14.25" customHeight="1" s="33">
      <c r="A40" s="13" t="inlineStr">
        <is>
          <t>09/11/2025</t>
        </is>
      </c>
      <c r="B40" s="13" t="inlineStr">
        <is>
          <t>Risto Alle SRL Foligno</t>
        </is>
      </c>
      <c r="C40" s="11" t="n">
        <v>5</v>
      </c>
      <c r="D40" s="13" t="inlineStr">
        <is>
          <t>Banca</t>
        </is>
      </c>
      <c r="E40" s="8" t="n"/>
      <c r="F40" s="13" t="n"/>
    </row>
    <row r="41" ht="14.25" customHeight="1" s="33">
      <c r="A41" s="13" t="inlineStr">
        <is>
          <t>17/11/2025</t>
        </is>
      </c>
      <c r="B41" s="13" t="inlineStr">
        <is>
          <t>CAMP SRL Foligno</t>
        </is>
      </c>
      <c r="C41" s="11" t="n">
        <v>17.43</v>
      </c>
      <c r="D41" s="13" t="inlineStr">
        <is>
          <t>Banca</t>
        </is>
      </c>
      <c r="E41" s="8" t="n"/>
      <c r="F41" s="13" t="n"/>
    </row>
    <row r="42" ht="14.25" customHeight="1" s="33">
      <c r="A42" s="13" t="inlineStr">
        <is>
          <t>19/11/2025</t>
        </is>
      </c>
      <c r="B42" s="13" t="inlineStr">
        <is>
          <t>PIZZERIA MANCINI Foligno</t>
        </is>
      </c>
      <c r="C42" s="11" t="n">
        <v>6.2</v>
      </c>
      <c r="D42" s="13" t="inlineStr">
        <is>
          <t>Banca</t>
        </is>
      </c>
      <c r="E42" s="8" t="n"/>
      <c r="F42" s="13" t="n"/>
    </row>
    <row r="43" ht="14.25" customHeight="1" s="33">
      <c r="A43" s="13" t="inlineStr">
        <is>
          <t>21/11/2025</t>
        </is>
      </c>
      <c r="B43" s="13" t="inlineStr">
        <is>
          <t>EMI SUP San Mariano</t>
        </is>
      </c>
      <c r="C43" s="11" t="n">
        <v>27.69</v>
      </c>
      <c r="D43" s="13" t="inlineStr">
        <is>
          <t>Banca</t>
        </is>
      </c>
      <c r="E43" s="8" t="n"/>
      <c r="F43" s="13" t="n"/>
    </row>
    <row r="44" ht="14.25" customHeight="1" s="33">
      <c r="A44" s="13" t="inlineStr">
        <is>
          <t>26/11/2025</t>
        </is>
      </c>
      <c r="B44" s="13" t="inlineStr">
        <is>
          <t>UNICOOP ETRURIA Foligno</t>
        </is>
      </c>
      <c r="C44" s="11" t="n">
        <v>20.34</v>
      </c>
      <c r="D44" s="13" t="inlineStr">
        <is>
          <t>Banca</t>
        </is>
      </c>
      <c r="E44" s="8" t="n"/>
      <c r="F44" s="13" t="n"/>
    </row>
    <row r="45" ht="14.25" customHeight="1" s="33">
      <c r="A45" s="13" t="inlineStr">
        <is>
          <t>28/11/2025</t>
        </is>
      </c>
      <c r="B45" s="13" t="inlineStr">
        <is>
          <t>UNICOOP ETRURIA Foligno</t>
        </is>
      </c>
      <c r="C45" s="11" t="n">
        <v>17.87</v>
      </c>
      <c r="D45" s="13" t="inlineStr">
        <is>
          <t>Banca</t>
        </is>
      </c>
      <c r="E45" s="8" t="n"/>
      <c r="F45" s="13" t="n"/>
    </row>
    <row r="46" ht="14.25" customHeight="1" s="33">
      <c r="A46" s="13" t="inlineStr">
        <is>
          <t>28/11/2025</t>
        </is>
      </c>
      <c r="B46" s="13" t="inlineStr">
        <is>
          <t>EUROSPIN Foligno</t>
        </is>
      </c>
      <c r="C46" s="11" t="n">
        <v>11.35</v>
      </c>
      <c r="D46" s="13" t="inlineStr">
        <is>
          <t>Banca</t>
        </is>
      </c>
      <c r="E46" s="8" t="n"/>
      <c r="F46" s="13" t="n"/>
    </row>
    <row r="47" ht="14.25" customHeight="1" s="33">
      <c r="A47" s="13" t="inlineStr">
        <is>
          <t>04/12/2025</t>
        </is>
      </c>
      <c r="B47" s="13" t="inlineStr">
        <is>
          <t>UNICOOP ETRURIA Perugia</t>
        </is>
      </c>
      <c r="C47" s="11" t="n">
        <v>8.130000000000001</v>
      </c>
      <c r="D47" s="13" t="inlineStr">
        <is>
          <t>Banca</t>
        </is>
      </c>
      <c r="E47" s="8" t="n"/>
      <c r="F47" s="13" t="n"/>
    </row>
    <row r="48" ht="14.25" customHeight="1" s="33">
      <c r="A48" s="13" t="inlineStr">
        <is>
          <t>07/12/2025</t>
        </is>
      </c>
      <c r="B48" s="13" t="inlineStr">
        <is>
          <t>VIMALGEST SRL Foligno</t>
        </is>
      </c>
      <c r="C48" s="11" t="n">
        <v>10.61</v>
      </c>
      <c r="D48" s="13" t="inlineStr">
        <is>
          <t>Banca</t>
        </is>
      </c>
      <c r="E48" s="8" t="n"/>
      <c r="F48" s="13" t="n"/>
    </row>
    <row r="49" ht="14.25" customHeight="1" s="33">
      <c r="A49" s="13" t="inlineStr">
        <is>
          <t>07/12/2025</t>
        </is>
      </c>
      <c r="B49" s="13" t="inlineStr">
        <is>
          <t>GALA Foligno</t>
        </is>
      </c>
      <c r="C49" s="11" t="n">
        <v>4.17</v>
      </c>
      <c r="D49" s="13" t="inlineStr">
        <is>
          <t>Banca</t>
        </is>
      </c>
      <c r="E49" s="8" t="n"/>
      <c r="F49" s="13" t="n"/>
    </row>
    <row r="50" ht="14.25" customHeight="1" s="33">
      <c r="A50" s="13" t="inlineStr">
        <is>
          <t>13/12/2025</t>
        </is>
      </c>
      <c r="B50" s="13" t="inlineStr">
        <is>
          <t>CONAD Trevi</t>
        </is>
      </c>
      <c r="C50" s="11" t="n">
        <v>38.07</v>
      </c>
      <c r="D50" s="13" t="inlineStr">
        <is>
          <t>Banca</t>
        </is>
      </c>
      <c r="E50" s="8" t="n"/>
      <c r="F50" s="13" t="n"/>
    </row>
    <row r="51" ht="14.25" customHeight="1" s="33">
      <c r="A51" s="13" t="inlineStr">
        <is>
          <t>15/12/2025</t>
        </is>
      </c>
      <c r="B51" s="13" t="inlineStr">
        <is>
          <t>VIMALGEST SRL Foligno</t>
        </is>
      </c>
      <c r="C51" s="11" t="n">
        <v>3.98</v>
      </c>
      <c r="D51" s="13" t="inlineStr">
        <is>
          <t>Banca</t>
        </is>
      </c>
      <c r="E51" s="8" t="n"/>
      <c r="F51" s="13" t="n"/>
    </row>
    <row r="52" ht="14.25" customHeight="1" s="33">
      <c r="A52" s="13" t="inlineStr">
        <is>
          <t>06/01/2026</t>
        </is>
      </c>
      <c r="B52" s="13" t="inlineStr">
        <is>
          <t>UNICOOP ETRURIA Perugia</t>
        </is>
      </c>
      <c r="C52" s="11" t="n">
        <v>53.56</v>
      </c>
      <c r="D52" s="13" t="inlineStr">
        <is>
          <t>Banca</t>
        </is>
      </c>
      <c r="E52" s="8" t="n"/>
      <c r="F52" s="13" t="n"/>
    </row>
    <row r="53" ht="14.25" customHeight="1" s="33">
      <c r="A53" s="13" t="inlineStr">
        <is>
          <t>07/01/2026</t>
        </is>
      </c>
      <c r="B53" s="13" t="inlineStr">
        <is>
          <t>UNICOOP ETRURIA Foligno</t>
        </is>
      </c>
      <c r="C53" s="11" t="n">
        <v>35.21</v>
      </c>
      <c r="D53" s="13" t="inlineStr">
        <is>
          <t>Banca</t>
        </is>
      </c>
      <c r="E53" s="8" t="n"/>
      <c r="F53" s="13" t="n"/>
    </row>
    <row r="54" ht="14.25" customHeight="1" s="33">
      <c r="A54" s="13" t="inlineStr">
        <is>
          <t>13/01/2026</t>
        </is>
      </c>
      <c r="B54" s="13" t="inlineStr">
        <is>
          <t>Farine (bonifico)</t>
        </is>
      </c>
      <c r="C54" s="11" t="n">
        <v>186.9</v>
      </c>
      <c r="D54" s="13" t="inlineStr">
        <is>
          <t>Banca</t>
        </is>
      </c>
      <c r="E54" s="8" t="n"/>
      <c r="F54" s="13" t="n"/>
    </row>
    <row r="55" ht="14.25" customHeight="1" s="33">
      <c r="A55" s="13" t="inlineStr">
        <is>
          <t>26/01/2026</t>
        </is>
      </c>
      <c r="B55" s="13" t="inlineStr">
        <is>
          <t>Antichi Sapori San Costanzo</t>
        </is>
      </c>
      <c r="C55" s="11" t="n">
        <v>38</v>
      </c>
      <c r="D55" s="13" t="inlineStr">
        <is>
          <t>Banca</t>
        </is>
      </c>
      <c r="E55" s="8" t="n"/>
      <c r="F55" s="13" t="n"/>
    </row>
    <row r="56" ht="14.25" customHeight="1" s="33">
      <c r="A56" s="13" t="inlineStr">
        <is>
          <t>26/01/2026</t>
        </is>
      </c>
      <c r="B56" s="13" t="inlineStr">
        <is>
          <t>FRUTTA VIVA Mondolfo</t>
        </is>
      </c>
      <c r="C56" s="11" t="n">
        <v>25</v>
      </c>
      <c r="D56" s="13" t="inlineStr">
        <is>
          <t>Banca</t>
        </is>
      </c>
      <c r="E56" s="8" t="n"/>
      <c r="F56" s="13" t="n"/>
    </row>
    <row r="57" ht="14.25" customHeight="1" s="33">
      <c r="A57" s="13" t="inlineStr">
        <is>
          <t>26/01/2026</t>
        </is>
      </c>
      <c r="B57" s="13" t="inlineStr">
        <is>
          <t>UNICOOP ETRURIA Foligno</t>
        </is>
      </c>
      <c r="C57" s="11" t="n">
        <v>34.72</v>
      </c>
      <c r="D57" s="13" t="inlineStr">
        <is>
          <t>Banca</t>
        </is>
      </c>
      <c r="E57" s="8" t="n"/>
      <c r="F57" s="13" t="n"/>
    </row>
    <row r="58" ht="14.25" customHeight="1" s="33">
      <c r="A58" s="13" t="inlineStr">
        <is>
          <t>05/02/2026</t>
        </is>
      </c>
      <c r="B58" s="13" t="inlineStr">
        <is>
          <t>UNICOOP ETRURIA Foligno</t>
        </is>
      </c>
      <c r="C58" s="11" t="n">
        <v>75.81999999999999</v>
      </c>
      <c r="D58" s="13" t="inlineStr">
        <is>
          <t>Banca</t>
        </is>
      </c>
      <c r="E58" s="8" t="n"/>
      <c r="F58" s="13" t="n"/>
    </row>
    <row r="59" ht="14.25" customHeight="1" s="33">
      <c r="A59" s="13" t="inlineStr">
        <is>
          <t>14/02/2026</t>
        </is>
      </c>
      <c r="B59" s="13" t="inlineStr">
        <is>
          <t>UNICOOP ETRURIA Foligno</t>
        </is>
      </c>
      <c r="C59" s="11" t="n">
        <v>4.75</v>
      </c>
      <c r="D59" s="13" t="inlineStr">
        <is>
          <t>Banca</t>
        </is>
      </c>
      <c r="E59" s="8" t="n"/>
      <c r="F59" s="13" t="n"/>
    </row>
    <row r="60" ht="14.25" customHeight="1" s="33">
      <c r="A60" s="13" t="inlineStr">
        <is>
          <t>14/02/2026</t>
        </is>
      </c>
      <c r="B60" s="13" t="inlineStr">
        <is>
          <t>VIMALGEST SRL Foligno</t>
        </is>
      </c>
      <c r="C60" s="11" t="n">
        <v>78.94</v>
      </c>
      <c r="D60" s="13" t="inlineStr">
        <is>
          <t>Banca</t>
        </is>
      </c>
      <c r="E60" s="8" t="n"/>
      <c r="F60" s="13" t="n"/>
    </row>
    <row r="61" ht="14.25" customHeight="1" s="33">
      <c r="A61" s="13" t="inlineStr">
        <is>
          <t>02/03/2026</t>
        </is>
      </c>
      <c r="B61" s="13" t="inlineStr">
        <is>
          <t>UNICOOP ETRURIA Foligno</t>
        </is>
      </c>
      <c r="C61" s="11" t="n">
        <v>58.83</v>
      </c>
      <c r="D61" s="13" t="inlineStr">
        <is>
          <t>Banca</t>
        </is>
      </c>
      <c r="E61" s="8" t="n"/>
      <c r="F61" s="13" t="n"/>
    </row>
    <row r="62" ht="14.25" customHeight="1" s="33">
      <c r="A62" s="13" t="inlineStr">
        <is>
          <t>06/03/2026</t>
        </is>
      </c>
      <c r="B62" s="13" t="inlineStr">
        <is>
          <t>Parmigiano (bonifico)</t>
        </is>
      </c>
      <c r="C62" s="11" t="n">
        <v>86.26000000000001</v>
      </c>
      <c r="D62" s="13" t="inlineStr">
        <is>
          <t>Banca</t>
        </is>
      </c>
      <c r="E62" s="8" t="n"/>
      <c r="F62" s="13" t="n"/>
    </row>
    <row r="63" ht="14.25" customHeight="1" s="33">
      <c r="A63" s="13" t="inlineStr">
        <is>
          <t>16/03/2026</t>
        </is>
      </c>
      <c r="B63" s="13" t="inlineStr">
        <is>
          <t>CONAD Trevi</t>
        </is>
      </c>
      <c r="C63" s="11" t="n">
        <v>20.29</v>
      </c>
      <c r="D63" s="13" t="inlineStr">
        <is>
          <t>Banca</t>
        </is>
      </c>
      <c r="E63" s="8" t="n"/>
      <c r="F63" s="13" t="n"/>
    </row>
    <row r="64" ht="14.25" customHeight="1" s="33">
      <c r="A64" s="13" t="inlineStr">
        <is>
          <t>18/03/2026</t>
        </is>
      </c>
      <c r="B64" s="13" t="inlineStr">
        <is>
          <t>UNICOOP ETRURIA Foligno</t>
        </is>
      </c>
      <c r="C64" s="11" t="n">
        <v>5.38</v>
      </c>
      <c r="D64" s="13" t="inlineStr">
        <is>
          <t>Banca</t>
        </is>
      </c>
      <c r="E64" s="8" t="n"/>
      <c r="F64" s="13" t="n"/>
    </row>
    <row r="65" ht="14.25" customHeight="1" s="33">
      <c r="A65" s="13" t="inlineStr">
        <is>
          <t>24/03/2026</t>
        </is>
      </c>
      <c r="B65" s="13" t="inlineStr">
        <is>
          <t>UNICOOP ETRURIA Foligno</t>
        </is>
      </c>
      <c r="C65" s="11" t="n">
        <v>41.67</v>
      </c>
      <c r="D65" s="13" t="inlineStr">
        <is>
          <t>Banca</t>
        </is>
      </c>
      <c r="E65" s="8" t="n"/>
      <c r="F65" s="13" t="n"/>
    </row>
    <row r="66" ht="14.25" customHeight="1" s="33">
      <c r="A66" s="13" t="inlineStr">
        <is>
          <t>31/03/2026</t>
        </is>
      </c>
      <c r="B66" s="13" t="inlineStr">
        <is>
          <t>UNICOOP ETRURIA Foligno</t>
        </is>
      </c>
      <c r="C66" s="11" t="n">
        <v>93.5</v>
      </c>
      <c r="D66" s="13" t="inlineStr">
        <is>
          <t>Banca</t>
        </is>
      </c>
      <c r="E66" s="8" t="n"/>
      <c r="F66" s="13" t="n"/>
    </row>
    <row r="67" ht="14.25" customHeight="1" s="33">
      <c r="A67" s="13" t="inlineStr">
        <is>
          <t>06/04/2026</t>
        </is>
      </c>
      <c r="B67" s="13" t="inlineStr">
        <is>
          <t>GALA</t>
        </is>
      </c>
      <c r="C67" s="11" t="n">
        <v>2.58</v>
      </c>
      <c r="D67" s="13" t="inlineStr">
        <is>
          <t>Screenshot</t>
        </is>
      </c>
      <c r="E67" s="8" t="n"/>
      <c r="F67" s="13" t="n"/>
    </row>
    <row r="68" ht="14.25" customHeight="1" s="33">
      <c r="A68" s="9" t="inlineStr">
        <is>
          <t>TOTALE</t>
        </is>
      </c>
      <c r="B68" s="9" t="n"/>
      <c r="C68" s="10">
        <f>SUM(C26:C67)</f>
        <v/>
      </c>
      <c r="D68" s="9" t="n"/>
      <c r="E68" s="9" t="n"/>
      <c r="F68" s="9" t="n"/>
    </row>
    <row r="69" ht="14.25" customHeight="1" s="33"/>
    <row r="70" ht="14.25" customHeight="1" s="33">
      <c r="A70" s="34" t="inlineStr">
        <is>
          <t>VERDURE MATTIA BRUNI (PayPal)</t>
        </is>
      </c>
      <c r="B70" s="35" t="n"/>
      <c r="C70" s="35" t="n"/>
      <c r="D70" s="35" t="n"/>
      <c r="E70" s="35" t="n"/>
      <c r="F70" s="36" t="n"/>
    </row>
    <row r="71" ht="14.25" customHeight="1" s="33">
      <c r="A71" s="5" t="inlineStr">
        <is>
          <t>Data</t>
        </is>
      </c>
      <c r="B71" s="5" t="inlineStr">
        <is>
          <t>Descrizione</t>
        </is>
      </c>
      <c r="C71" s="5" t="inlineStr">
        <is>
          <t>Importo</t>
        </is>
      </c>
      <c r="D71" s="5" t="inlineStr">
        <is>
          <t>Fonte</t>
        </is>
      </c>
      <c r="E71" s="5" t="inlineStr">
        <is>
          <t>Pagato</t>
        </is>
      </c>
      <c r="F71" s="5" t="inlineStr">
        <is>
          <t>Note</t>
        </is>
      </c>
    </row>
    <row r="72" ht="14.25" customHeight="1" s="33">
      <c r="A72" s="13" t="inlineStr">
        <is>
          <t>16/09/2025</t>
        </is>
      </c>
      <c r="B72" s="13" t="inlineStr">
        <is>
          <t>Mattia Bruni - verdure</t>
        </is>
      </c>
      <c r="C72" s="11" t="n">
        <v>35.5</v>
      </c>
      <c r="D72" s="13" t="inlineStr">
        <is>
          <t>PayPal</t>
        </is>
      </c>
      <c r="E72" s="8" t="n"/>
      <c r="F72" s="13" t="n"/>
    </row>
    <row r="73" ht="14.25" customHeight="1" s="33">
      <c r="A73" s="13" t="inlineStr">
        <is>
          <t>24/09/2025</t>
        </is>
      </c>
      <c r="B73" s="13" t="inlineStr">
        <is>
          <t>Mattia Bruni - verdure</t>
        </is>
      </c>
      <c r="C73" s="11" t="n">
        <v>18.7</v>
      </c>
      <c r="D73" s="13" t="inlineStr">
        <is>
          <t>PayPal</t>
        </is>
      </c>
      <c r="E73" s="8" t="n"/>
      <c r="F73" s="13" t="n"/>
    </row>
    <row r="74" ht="14.25" customHeight="1" s="33">
      <c r="A74" s="13" t="inlineStr">
        <is>
          <t>08/10/2025</t>
        </is>
      </c>
      <c r="B74" s="13" t="inlineStr">
        <is>
          <t>Mattia Bruni - verdure</t>
        </is>
      </c>
      <c r="C74" s="11" t="n">
        <v>17.7</v>
      </c>
      <c r="D74" s="13" t="inlineStr">
        <is>
          <t>PayPal</t>
        </is>
      </c>
      <c r="E74" s="8" t="n"/>
      <c r="F74" s="13" t="n"/>
    </row>
    <row r="75" ht="14.25" customHeight="1" s="33">
      <c r="A75" s="13" t="inlineStr">
        <is>
          <t>12/10/2025</t>
        </is>
      </c>
      <c r="B75" s="13" t="inlineStr">
        <is>
          <t>Mattia Bruni - verdure</t>
        </is>
      </c>
      <c r="C75" s="11" t="n">
        <v>15.75</v>
      </c>
      <c r="D75" s="13" t="inlineStr">
        <is>
          <t>PayPal</t>
        </is>
      </c>
      <c r="E75" s="8" t="n"/>
      <c r="F75" s="13" t="n"/>
    </row>
    <row r="76" ht="14.25" customHeight="1" s="33">
      <c r="A76" s="13" t="inlineStr">
        <is>
          <t>20/10/2025</t>
        </is>
      </c>
      <c r="B76" s="13" t="inlineStr">
        <is>
          <t>Mattia Bruni - verdure</t>
        </is>
      </c>
      <c r="C76" s="11" t="n">
        <v>19.65</v>
      </c>
      <c r="D76" s="13" t="inlineStr">
        <is>
          <t>PayPal</t>
        </is>
      </c>
      <c r="E76" s="8" t="n"/>
      <c r="F76" s="13" t="n"/>
    </row>
    <row r="77" ht="14.25" customHeight="1" s="33">
      <c r="A77" s="13" t="inlineStr">
        <is>
          <t>05/11/2025</t>
        </is>
      </c>
      <c r="B77" s="13" t="inlineStr">
        <is>
          <t>Mattia Bruni - verdure</t>
        </is>
      </c>
      <c r="C77" s="11" t="n">
        <v>36.15</v>
      </c>
      <c r="D77" s="13" t="inlineStr">
        <is>
          <t>PayPal</t>
        </is>
      </c>
      <c r="E77" s="8" t="n"/>
      <c r="F77" s="13" t="n"/>
    </row>
    <row r="78" ht="14.25" customHeight="1" s="33">
      <c r="A78" s="13" t="inlineStr">
        <is>
          <t>19/11/2025</t>
        </is>
      </c>
      <c r="B78" s="13" t="inlineStr">
        <is>
          <t>Mattia Bruni - verdure</t>
        </is>
      </c>
      <c r="C78" s="11" t="n">
        <v>25.25</v>
      </c>
      <c r="D78" s="13" t="inlineStr">
        <is>
          <t>PayPal</t>
        </is>
      </c>
      <c r="E78" s="8" t="n"/>
      <c r="F78" s="13" t="n"/>
    </row>
    <row r="79" ht="14.25" customHeight="1" s="33">
      <c r="A79" s="13" t="inlineStr">
        <is>
          <t>01/12/2025</t>
        </is>
      </c>
      <c r="B79" s="13" t="inlineStr">
        <is>
          <t>Mattia Bruni - verdure</t>
        </is>
      </c>
      <c r="C79" s="11" t="n">
        <v>12.8</v>
      </c>
      <c r="D79" s="13" t="inlineStr">
        <is>
          <t>PayPal</t>
        </is>
      </c>
      <c r="E79" s="8" t="n"/>
      <c r="F79" s="13" t="n"/>
    </row>
    <row r="80" ht="14.25" customHeight="1" s="33">
      <c r="A80" s="13" t="inlineStr">
        <is>
          <t>10/12/2025</t>
        </is>
      </c>
      <c r="B80" s="13" t="inlineStr">
        <is>
          <t>Mattia Bruni - verdure</t>
        </is>
      </c>
      <c r="C80" s="11" t="n">
        <v>20.28</v>
      </c>
      <c r="D80" s="13" t="inlineStr">
        <is>
          <t>PayPal</t>
        </is>
      </c>
      <c r="E80" s="8" t="n"/>
      <c r="F80" s="13" t="n"/>
    </row>
    <row r="81" ht="14.25" customHeight="1" s="33">
      <c r="A81" s="13" t="inlineStr">
        <is>
          <t>18/12/2025</t>
        </is>
      </c>
      <c r="B81" s="13" t="inlineStr">
        <is>
          <t>Mattia Bruni - verdure</t>
        </is>
      </c>
      <c r="C81" s="11" t="n">
        <v>24</v>
      </c>
      <c r="D81" s="13" t="inlineStr">
        <is>
          <t>PayPal</t>
        </is>
      </c>
      <c r="E81" s="8" t="n"/>
      <c r="F81" s="13" t="n"/>
    </row>
    <row r="82" ht="14.25" customHeight="1" s="33">
      <c r="A82" s="13" t="inlineStr">
        <is>
          <t>23/12/2025</t>
        </is>
      </c>
      <c r="B82" s="13" t="inlineStr">
        <is>
          <t>Mattia Bruni - verdure</t>
        </is>
      </c>
      <c r="C82" s="11" t="n">
        <v>11.6</v>
      </c>
      <c r="D82" s="13" t="inlineStr">
        <is>
          <t>PayPal</t>
        </is>
      </c>
      <c r="E82" s="8" t="n"/>
      <c r="F82" s="13" t="n"/>
    </row>
    <row r="83" ht="14.25" customHeight="1" s="33">
      <c r="A83" s="13" t="inlineStr">
        <is>
          <t>05/01/2026</t>
        </is>
      </c>
      <c r="B83" s="13" t="inlineStr">
        <is>
          <t>Mattia Bruni - verdure</t>
        </is>
      </c>
      <c r="C83" s="11" t="n">
        <v>17.8</v>
      </c>
      <c r="D83" s="13" t="inlineStr">
        <is>
          <t>PayPal</t>
        </is>
      </c>
      <c r="E83" s="8" t="n"/>
      <c r="F83" s="13" t="n"/>
    </row>
    <row r="84" ht="14.25" customHeight="1" s="33">
      <c r="A84" s="13" t="inlineStr">
        <is>
          <t>26/01/2026</t>
        </is>
      </c>
      <c r="B84" s="13" t="inlineStr">
        <is>
          <t>Mattia Bruni - verdure</t>
        </is>
      </c>
      <c r="C84" s="11" t="n">
        <v>37.35</v>
      </c>
      <c r="D84" s="13" t="inlineStr">
        <is>
          <t>PayPal</t>
        </is>
      </c>
      <c r="E84" s="8" t="n"/>
      <c r="F84" s="13" t="n"/>
    </row>
    <row r="85" ht="14.25" customHeight="1" s="33">
      <c r="A85" s="13" t="inlineStr">
        <is>
          <t>04/02/2026</t>
        </is>
      </c>
      <c r="B85" s="13" t="inlineStr">
        <is>
          <t>Mattia Bruni - verdure</t>
        </is>
      </c>
      <c r="C85" s="11" t="n">
        <v>11</v>
      </c>
      <c r="D85" s="13" t="inlineStr">
        <is>
          <t>PayPal</t>
        </is>
      </c>
      <c r="E85" s="8" t="n"/>
      <c r="F85" s="13" t="n"/>
    </row>
    <row r="86" ht="14.25" customHeight="1" s="33">
      <c r="A86" s="13" t="inlineStr">
        <is>
          <t>10/02/2026</t>
        </is>
      </c>
      <c r="B86" s="13" t="inlineStr">
        <is>
          <t>Mattia Bruni - verdure</t>
        </is>
      </c>
      <c r="C86" s="11" t="n">
        <v>22.58</v>
      </c>
      <c r="D86" s="13" t="inlineStr">
        <is>
          <t>PayPal</t>
        </is>
      </c>
      <c r="E86" s="8" t="n"/>
      <c r="F86" s="13" t="n"/>
    </row>
    <row r="87" ht="14.25" customHeight="1" s="33">
      <c r="A87" s="13" t="inlineStr">
        <is>
          <t>25/02/2026</t>
        </is>
      </c>
      <c r="B87" s="13" t="inlineStr">
        <is>
          <t>Mattia Bruni - verdure</t>
        </is>
      </c>
      <c r="C87" s="11" t="n">
        <v>22.1</v>
      </c>
      <c r="D87" s="13" t="inlineStr">
        <is>
          <t>PayPal</t>
        </is>
      </c>
      <c r="E87" s="8" t="n"/>
      <c r="F87" s="13" t="n"/>
    </row>
    <row r="88" ht="14.25" customHeight="1" s="33">
      <c r="A88" s="13" t="inlineStr">
        <is>
          <t>16/03/2026</t>
        </is>
      </c>
      <c r="B88" s="13" t="inlineStr">
        <is>
          <t>Mattia Bruni - verdure</t>
        </is>
      </c>
      <c r="C88" s="11" t="n">
        <v>10.7</v>
      </c>
      <c r="D88" s="13" t="inlineStr">
        <is>
          <t>PayPal</t>
        </is>
      </c>
      <c r="E88" s="8" t="n"/>
      <c r="F88" s="13" t="n"/>
    </row>
    <row r="89" ht="14.25" customHeight="1" s="33">
      <c r="A89" s="13" t="inlineStr">
        <is>
          <t>23/03/2026</t>
        </is>
      </c>
      <c r="B89" s="13" t="inlineStr">
        <is>
          <t>Mattia Bruni - verdure</t>
        </is>
      </c>
      <c r="C89" s="11" t="n">
        <v>17.85</v>
      </c>
      <c r="D89" s="13" t="inlineStr">
        <is>
          <t>PayPal</t>
        </is>
      </c>
      <c r="E89" s="8" t="n"/>
      <c r="F89" s="13" t="n"/>
    </row>
    <row r="90" ht="14.25" customHeight="1" s="33">
      <c r="A90" s="13" t="inlineStr">
        <is>
          <t>30/03/2026</t>
        </is>
      </c>
      <c r="B90" s="13" t="inlineStr">
        <is>
          <t>Mattia Bruni - verdure</t>
        </is>
      </c>
      <c r="C90" s="11" t="n">
        <v>24.8</v>
      </c>
      <c r="D90" s="13" t="inlineStr">
        <is>
          <t>PayPal</t>
        </is>
      </c>
      <c r="E90" s="8" t="n"/>
      <c r="F90" s="13" t="n"/>
    </row>
    <row r="91" ht="14.25" customHeight="1" s="33">
      <c r="A91" s="9" t="inlineStr">
        <is>
          <t>TOTALE</t>
        </is>
      </c>
      <c r="B91" s="9" t="n"/>
      <c r="C91" s="10">
        <f>SUM(C72:C90)</f>
        <v/>
      </c>
      <c r="D91" s="9" t="n"/>
      <c r="E91" s="9" t="n"/>
      <c r="F91" s="9" t="n"/>
    </row>
    <row r="92" ht="14.25" customHeight="1" s="33"/>
    <row r="93" ht="14.25" customHeight="1" s="33">
      <c r="A93" s="34" t="inlineStr">
        <is>
          <t>KORO ALIMENTARI (PayPal)</t>
        </is>
      </c>
      <c r="B93" s="35" t="n"/>
      <c r="C93" s="35" t="n"/>
      <c r="D93" s="35" t="n"/>
      <c r="E93" s="35" t="n"/>
      <c r="F93" s="36" t="n"/>
    </row>
    <row r="94" ht="14.25" customHeight="1" s="33">
      <c r="A94" s="5" t="inlineStr">
        <is>
          <t>Data</t>
        </is>
      </c>
      <c r="B94" s="5" t="inlineStr">
        <is>
          <t>Descrizione</t>
        </is>
      </c>
      <c r="C94" s="5" t="inlineStr">
        <is>
          <t>Importo</t>
        </is>
      </c>
      <c r="D94" s="5" t="inlineStr">
        <is>
          <t>Fonte</t>
        </is>
      </c>
      <c r="E94" s="5" t="inlineStr">
        <is>
          <t>Pagato</t>
        </is>
      </c>
      <c r="F94" s="5" t="inlineStr">
        <is>
          <t>Note</t>
        </is>
      </c>
    </row>
    <row r="95" ht="14.25" customHeight="1" s="33">
      <c r="A95" s="13" t="inlineStr">
        <is>
          <t>07/02/2026</t>
        </is>
      </c>
      <c r="B95" s="13" t="inlineStr">
        <is>
          <t>KoRo - Ordine 17573062</t>
        </is>
      </c>
      <c r="C95" s="11" t="n">
        <v>99.27</v>
      </c>
      <c r="D95" s="13" t="inlineStr">
        <is>
          <t>PayPal</t>
        </is>
      </c>
      <c r="E95" s="8" t="n"/>
      <c r="F95" s="13" t="n"/>
    </row>
    <row r="96" ht="14.25" customHeight="1" s="33">
      <c r="A96" s="13" t="inlineStr">
        <is>
          <t>07/02/2026</t>
        </is>
      </c>
      <c r="B96" s="13" t="inlineStr">
        <is>
          <t>KoRo - Ordine 17573232</t>
        </is>
      </c>
      <c r="C96" s="11" t="n">
        <v>99.27</v>
      </c>
      <c r="D96" s="13" t="inlineStr">
        <is>
          <t>PayPal</t>
        </is>
      </c>
      <c r="E96" s="8" t="n"/>
      <c r="F96" s="13" t="n"/>
    </row>
    <row r="97" ht="14.25" customHeight="1" s="33">
      <c r="A97" s="13" t="inlineStr">
        <is>
          <t>07/02/2026</t>
        </is>
      </c>
      <c r="B97" s="13" t="inlineStr">
        <is>
          <t>KoRo - Ordine 17573269</t>
        </is>
      </c>
      <c r="C97" s="11" t="n">
        <v>102.12</v>
      </c>
      <c r="D97" s="13" t="inlineStr">
        <is>
          <t>PayPal</t>
        </is>
      </c>
      <c r="E97" s="8" t="n"/>
      <c r="F97" s="13" t="n"/>
    </row>
    <row r="98" ht="14.25" customHeight="1" s="33">
      <c r="A98" s="13" t="inlineStr">
        <is>
          <t>25/02/2026</t>
        </is>
      </c>
      <c r="B98" s="13" t="inlineStr">
        <is>
          <t>KoRo - Ordine 17734144</t>
        </is>
      </c>
      <c r="C98" s="11" t="n">
        <v>100.21</v>
      </c>
      <c r="D98" s="13" t="inlineStr">
        <is>
          <t>PayPal</t>
        </is>
      </c>
      <c r="E98" s="8" t="n"/>
      <c r="F98" s="13" t="n"/>
    </row>
    <row r="99" ht="14.25" customHeight="1" s="33">
      <c r="A99" s="13" t="inlineStr">
        <is>
          <t>01/04/2026</t>
        </is>
      </c>
      <c r="B99" s="13" t="inlineStr">
        <is>
          <t>KoRo - Ordine 18072079</t>
        </is>
      </c>
      <c r="C99" s="11" t="n">
        <v>100</v>
      </c>
      <c r="D99" s="13" t="inlineStr">
        <is>
          <t>PayPal</t>
        </is>
      </c>
      <c r="E99" s="8" t="n"/>
      <c r="F99" s="13" t="n"/>
    </row>
    <row r="100" ht="14.25" customHeight="1" s="33">
      <c r="A100" s="9" t="inlineStr">
        <is>
          <t>TOTALE</t>
        </is>
      </c>
      <c r="B100" s="9" t="n"/>
      <c r="C100" s="10">
        <f>SUM(C95:C99)</f>
        <v/>
      </c>
      <c r="D100" s="9" t="n"/>
      <c r="E100" s="9" t="n"/>
      <c r="F100" s="9" t="n"/>
    </row>
    <row r="101" ht="14.25" customHeight="1" s="33"/>
    <row r="102" ht="14.25" customHeight="1" s="33">
      <c r="A102" s="34" t="inlineStr">
        <is>
          <t>MANDORLE / NOCCIOLE (forfettario)</t>
        </is>
      </c>
      <c r="B102" s="35" t="n"/>
      <c r="C102" s="35" t="n"/>
      <c r="D102" s="35" t="n"/>
      <c r="E102" s="35" t="n"/>
      <c r="F102" s="36" t="n"/>
    </row>
    <row r="103" ht="14.25" customHeight="1" s="33">
      <c r="A103" s="5" t="inlineStr">
        <is>
          <t>Data</t>
        </is>
      </c>
      <c r="B103" s="5" t="inlineStr">
        <is>
          <t>Descrizione</t>
        </is>
      </c>
      <c r="C103" s="5" t="inlineStr">
        <is>
          <t>Importo</t>
        </is>
      </c>
      <c r="D103" s="5" t="inlineStr">
        <is>
          <t>Fonte</t>
        </is>
      </c>
      <c r="E103" s="5" t="inlineStr">
        <is>
          <t>Pagato</t>
        </is>
      </c>
      <c r="F103" s="5" t="inlineStr">
        <is>
          <t>Note</t>
        </is>
      </c>
    </row>
    <row r="104" ht="14.25" customHeight="1" s="33">
      <c r="A104" s="13" t="inlineStr">
        <is>
          <t>01/10/2025</t>
        </is>
      </c>
      <c r="B104" s="13" t="inlineStr">
        <is>
          <t>Mandorle e nocciole (forfettario)</t>
        </is>
      </c>
      <c r="C104" s="11" t="n">
        <v>150</v>
      </c>
      <c r="D104" s="13" t="inlineStr">
        <is>
          <t>Manuale</t>
        </is>
      </c>
      <c r="E104" s="8" t="n"/>
      <c r="F104" s="13" t="n"/>
    </row>
    <row r="105" ht="14.25" customHeight="1" s="33">
      <c r="A105" s="9" t="inlineStr">
        <is>
          <t>TOTALE</t>
        </is>
      </c>
      <c r="B105" s="9" t="n"/>
      <c r="C105" s="10">
        <f>SUM(C104)</f>
        <v/>
      </c>
      <c r="D105" s="9" t="n"/>
      <c r="E105" s="9" t="n"/>
      <c r="F105" s="9" t="n"/>
    </row>
    <row r="106" ht="14.25" customHeight="1" s="33"/>
    <row r="107" ht="14.25" customHeight="1" s="33">
      <c r="A107" s="34" t="inlineStr">
        <is>
          <t>BOLLETTE / UTENZE</t>
        </is>
      </c>
      <c r="B107" s="35" t="n"/>
      <c r="C107" s="35" t="n"/>
      <c r="D107" s="35" t="n"/>
      <c r="E107" s="35" t="n"/>
      <c r="F107" s="36" t="n"/>
    </row>
    <row r="108" ht="14.25" customHeight="1" s="33">
      <c r="A108" s="5" t="inlineStr">
        <is>
          <t>Data</t>
        </is>
      </c>
      <c r="B108" s="5" t="inlineStr">
        <is>
          <t>Descrizione</t>
        </is>
      </c>
      <c r="C108" s="5" t="inlineStr">
        <is>
          <t>Importo</t>
        </is>
      </c>
      <c r="D108" s="5" t="inlineStr">
        <is>
          <t>Fonte</t>
        </is>
      </c>
      <c r="E108" s="5" t="inlineStr">
        <is>
          <t>Pagato</t>
        </is>
      </c>
      <c r="F108" s="5" t="inlineStr">
        <is>
          <t>Note</t>
        </is>
      </c>
    </row>
    <row r="109" ht="14.25" customHeight="1" s="33">
      <c r="A109" s="13" t="inlineStr">
        <is>
          <t>02/11/2025</t>
        </is>
      </c>
      <c r="B109" s="13" t="inlineStr">
        <is>
          <t>Starlink Internet - novembre</t>
        </is>
      </c>
      <c r="C109" s="11" t="n">
        <v>40</v>
      </c>
      <c r="D109" s="13" t="inlineStr">
        <is>
          <t>Banca</t>
        </is>
      </c>
      <c r="E109" s="8" t="n"/>
      <c r="F109" s="13" t="n"/>
    </row>
    <row r="110" ht="14.25" customHeight="1" s="33">
      <c r="A110" s="13" t="inlineStr">
        <is>
          <t>02/12/2025</t>
        </is>
      </c>
      <c r="B110" s="13" t="inlineStr">
        <is>
          <t>Starlink Internet - dicembre</t>
        </is>
      </c>
      <c r="C110" s="11" t="n">
        <v>20</v>
      </c>
      <c r="D110" s="13" t="inlineStr">
        <is>
          <t>Banca</t>
        </is>
      </c>
      <c r="E110" s="8" t="n"/>
      <c r="F110" s="13" t="n"/>
    </row>
    <row r="111" ht="14.25" customHeight="1" s="33">
      <c r="A111" s="13" t="inlineStr">
        <is>
          <t>02/01/2026</t>
        </is>
      </c>
      <c r="B111" s="13" t="inlineStr">
        <is>
          <t>Starlink Internet - gennaio</t>
        </is>
      </c>
      <c r="C111" s="11" t="n">
        <v>20</v>
      </c>
      <c r="D111" s="13" t="inlineStr">
        <is>
          <t>Banca</t>
        </is>
      </c>
      <c r="E111" s="8" t="n"/>
      <c r="F111" s="13" t="n"/>
    </row>
    <row r="112" ht="14.25" customHeight="1" s="33">
      <c r="A112" s="13" t="inlineStr">
        <is>
          <t>02/02/2026</t>
        </is>
      </c>
      <c r="B112" s="13" t="inlineStr">
        <is>
          <t>Starlink Internet - febbraio</t>
        </is>
      </c>
      <c r="C112" s="11" t="n">
        <v>20</v>
      </c>
      <c r="D112" s="13" t="inlineStr">
        <is>
          <t>Banca</t>
        </is>
      </c>
      <c r="E112" s="8" t="n"/>
      <c r="F112" s="13" t="n"/>
    </row>
    <row r="113" ht="14.25" customHeight="1" s="33">
      <c r="A113" s="13" t="inlineStr">
        <is>
          <t>02/03/2026</t>
        </is>
      </c>
      <c r="B113" s="13" t="inlineStr">
        <is>
          <t>Starlink Internet - marzo</t>
        </is>
      </c>
      <c r="C113" s="11" t="n">
        <v>20</v>
      </c>
      <c r="D113" s="13" t="inlineStr">
        <is>
          <t>Banca</t>
        </is>
      </c>
      <c r="E113" s="8" t="n"/>
      <c r="F113" s="13" t="n"/>
    </row>
    <row r="114" ht="14.25" customHeight="1" s="33">
      <c r="A114" s="13" t="inlineStr">
        <is>
          <t>02/04/2026</t>
        </is>
      </c>
      <c r="B114" s="13" t="inlineStr">
        <is>
          <t>Starlink Internet - aprile</t>
        </is>
      </c>
      <c r="C114" s="11" t="n">
        <v>20</v>
      </c>
      <c r="D114" s="13" t="inlineStr">
        <is>
          <t>Screenshot</t>
        </is>
      </c>
      <c r="E114" s="8" t="n"/>
      <c r="F114" s="13" t="n"/>
    </row>
    <row r="115" ht="14.25" customHeight="1" s="33">
      <c r="A115" s="13" t="inlineStr">
        <is>
          <t>14/02/2026</t>
        </is>
      </c>
      <c r="B115" s="13" t="inlineStr">
        <is>
          <t>Energia elettrica ACME</t>
        </is>
      </c>
      <c r="C115" s="11" t="n">
        <v>114</v>
      </c>
      <c r="D115" s="13" t="inlineStr">
        <is>
          <t>Banca</t>
        </is>
      </c>
      <c r="E115" s="8" t="n"/>
      <c r="F115" s="13" t="n"/>
    </row>
    <row r="116" ht="14.25" customHeight="1" s="33">
      <c r="A116" s="13" t="inlineStr">
        <is>
          <t>04/11/2025</t>
        </is>
      </c>
      <c r="B116" s="13" t="inlineStr">
        <is>
          <t>Fattura n.1633 27/10/2025 (GPL)</t>
        </is>
      </c>
      <c r="C116" s="11" t="n">
        <v>47.7</v>
      </c>
      <c r="D116" s="13" t="inlineStr">
        <is>
          <t>Banca</t>
        </is>
      </c>
      <c r="E116" s="8" t="n"/>
      <c r="F116" s="13" t="n"/>
    </row>
    <row r="117" ht="14.25" customHeight="1" s="33">
      <c r="A117" s="13" t="inlineStr">
        <is>
          <t>03/03/2026</t>
        </is>
      </c>
      <c r="B117" s="13" t="inlineStr">
        <is>
          <t>Fattura 470 28/01 (GPL)</t>
        </is>
      </c>
      <c r="C117" s="11" t="n">
        <v>370.01</v>
      </c>
      <c r="D117" s="13" t="inlineStr">
        <is>
          <t>Banca</t>
        </is>
      </c>
      <c r="E117" s="8" t="n"/>
      <c r="F117" s="13" t="n"/>
    </row>
    <row r="118" ht="14.25" customHeight="1" s="33">
      <c r="A118" s="13" t="inlineStr">
        <is>
          <t>29/03/2026</t>
        </is>
      </c>
      <c r="B118" s="13" t="inlineStr">
        <is>
          <t>Fattura 1111 del 02/03 (GPL)</t>
        </is>
      </c>
      <c r="C118" s="11" t="n">
        <v>293.54</v>
      </c>
      <c r="D118" s="13" t="inlineStr">
        <is>
          <t>Banca</t>
        </is>
      </c>
      <c r="E118" s="8" t="n"/>
      <c r="F118" s="13" t="n"/>
    </row>
    <row r="119" ht="14.25" customHeight="1" s="33">
      <c r="A119" s="13" t="inlineStr">
        <is>
          <t>01/12/2025</t>
        </is>
      </c>
      <c r="B119" s="13" t="inlineStr">
        <is>
          <t>Acqua VUS (PagoPA)</t>
        </is>
      </c>
      <c r="C119" s="11" t="n">
        <v>97.73999999999999</v>
      </c>
      <c r="D119" s="13" t="inlineStr">
        <is>
          <t>Banca</t>
        </is>
      </c>
      <c r="E119" s="8" t="n"/>
      <c r="F119" s="13" t="n"/>
    </row>
    <row r="120" ht="14.25" customHeight="1" s="33">
      <c r="A120" s="13" t="inlineStr">
        <is>
          <t>08/03/2026</t>
        </is>
      </c>
      <c r="B120" s="13" t="inlineStr">
        <is>
          <t>Rifiuti VUS (bollettino 126+1,50)</t>
        </is>
      </c>
      <c r="C120" s="11" t="n">
        <v>127.5</v>
      </c>
      <c r="D120" s="13" t="inlineStr">
        <is>
          <t>Banca</t>
        </is>
      </c>
      <c r="E120" s="8" t="n"/>
      <c r="F120" s="13" t="n"/>
    </row>
    <row r="121" ht="14.25" customHeight="1" s="33">
      <c r="A121" s="13" t="inlineStr">
        <is>
          <t>08/03/2026</t>
        </is>
      </c>
      <c r="B121" s="13" t="inlineStr">
        <is>
          <t>Bollettino utenza (71,85+1,50)</t>
        </is>
      </c>
      <c r="C121" s="11" t="n">
        <v>73.34999999999999</v>
      </c>
      <c r="D121" s="13" t="inlineStr">
        <is>
          <t>Banca</t>
        </is>
      </c>
      <c r="E121" s="8" t="n"/>
      <c r="F121" s="13" t="n"/>
    </row>
    <row r="122" ht="14.25" customHeight="1" s="33">
      <c r="A122" s="13" t="inlineStr">
        <is>
          <t>17/11/2025</t>
        </is>
      </c>
      <c r="B122" s="13" t="inlineStr">
        <is>
          <t>Legna riscaldamento (bonifico)</t>
        </is>
      </c>
      <c r="C122" s="11" t="n">
        <v>165</v>
      </c>
      <c r="D122" s="13" t="inlineStr">
        <is>
          <t>Banca</t>
        </is>
      </c>
      <c r="E122" s="8" t="n"/>
      <c r="F122" s="13" t="n"/>
    </row>
    <row r="123" ht="14.25" customHeight="1" s="33">
      <c r="A123" s="13" t="inlineStr">
        <is>
          <t>01/12/2025</t>
        </is>
      </c>
      <c r="B123" s="13" t="inlineStr">
        <is>
          <t>Legna riscaldamento (contanti)</t>
        </is>
      </c>
      <c r="C123" s="11" t="n">
        <v>180</v>
      </c>
      <c r="D123" s="13" t="inlineStr">
        <is>
          <t>Manuale</t>
        </is>
      </c>
      <c r="E123" s="8" t="n"/>
      <c r="F123" s="13" t="n"/>
    </row>
    <row r="124" ht="14.25" customHeight="1" s="33">
      <c r="A124" s="9" t="inlineStr">
        <is>
          <t>TOTALE</t>
        </is>
      </c>
      <c r="B124" s="9" t="n"/>
      <c r="C124" s="10">
        <f>SUM(C109:C123)</f>
        <v/>
      </c>
      <c r="D124" s="9" t="n"/>
      <c r="E124" s="9" t="n"/>
      <c r="F124" s="9" t="n"/>
    </row>
    <row r="125" ht="14.25" customHeight="1" s="33"/>
    <row r="126" ht="14.25" customHeight="1" s="33">
      <c r="A126" s="34" t="inlineStr">
        <is>
          <t>CASA / ARREDAMENTO</t>
        </is>
      </c>
      <c r="B126" s="35" t="n"/>
      <c r="C126" s="35" t="n"/>
      <c r="D126" s="35" t="n"/>
      <c r="E126" s="35" t="n"/>
      <c r="F126" s="36" t="n"/>
    </row>
    <row r="127" ht="14.25" customHeight="1" s="33">
      <c r="A127" s="5" t="inlineStr">
        <is>
          <t>Data</t>
        </is>
      </c>
      <c r="B127" s="5" t="inlineStr">
        <is>
          <t>Descrizione</t>
        </is>
      </c>
      <c r="C127" s="5" t="inlineStr">
        <is>
          <t>Importo</t>
        </is>
      </c>
      <c r="D127" s="5" t="inlineStr">
        <is>
          <t>Fonte</t>
        </is>
      </c>
      <c r="E127" s="5" t="inlineStr">
        <is>
          <t>Pagato</t>
        </is>
      </c>
      <c r="F127" s="5" t="inlineStr">
        <is>
          <t>Note</t>
        </is>
      </c>
    </row>
    <row r="128" ht="14.25" customHeight="1" s="33">
      <c r="A128" s="13" t="inlineStr">
        <is>
          <t>01/10/2025</t>
        </is>
      </c>
      <c r="B128" s="13" t="inlineStr">
        <is>
          <t>I Vivai di Ferri (piante)</t>
        </is>
      </c>
      <c r="C128" s="11" t="n">
        <v>16</v>
      </c>
      <c r="D128" s="13" t="inlineStr">
        <is>
          <t>Banca</t>
        </is>
      </c>
      <c r="E128" s="8" t="n"/>
      <c r="F128" s="13" t="n"/>
    </row>
    <row r="129" ht="14.25" customHeight="1" s="33">
      <c r="A129" s="13" t="inlineStr">
        <is>
          <t>06/10/2025</t>
        </is>
      </c>
      <c r="B129" s="13" t="inlineStr">
        <is>
          <t>D161 Trevi</t>
        </is>
      </c>
      <c r="C129" s="11" t="n">
        <v>6.96</v>
      </c>
      <c r="D129" s="13" t="inlineStr">
        <is>
          <t>Banca</t>
        </is>
      </c>
      <c r="E129" s="8" t="n"/>
      <c r="F129" s="13" t="n"/>
    </row>
    <row r="130" ht="14.25" customHeight="1" s="33">
      <c r="A130" s="13" t="inlineStr">
        <is>
          <t>06/10/2025</t>
        </is>
      </c>
      <c r="B130" s="13" t="inlineStr">
        <is>
          <t>BRICO IO Foligno</t>
        </is>
      </c>
      <c r="C130" s="11" t="n">
        <v>78.92</v>
      </c>
      <c r="D130" s="13" t="inlineStr">
        <is>
          <t>Banca</t>
        </is>
      </c>
      <c r="E130" s="8" t="n"/>
      <c r="F130" s="13" t="n"/>
    </row>
    <row r="131" ht="14.25" customHeight="1" s="33">
      <c r="A131" s="13" t="inlineStr">
        <is>
          <t>07/10/2025</t>
        </is>
      </c>
      <c r="B131" s="13" t="inlineStr">
        <is>
          <t>Angolo del Pulito (pulizia)</t>
        </is>
      </c>
      <c r="C131" s="11" t="n">
        <v>9</v>
      </c>
      <c r="D131" s="13" t="inlineStr">
        <is>
          <t>Banca</t>
        </is>
      </c>
      <c r="E131" s="8" t="n"/>
      <c r="F131" s="13" t="n"/>
    </row>
    <row r="132" ht="14.25" customHeight="1" s="33">
      <c r="A132" s="13" t="inlineStr">
        <is>
          <t>07/10/2025</t>
        </is>
      </c>
      <c r="B132" s="13" t="inlineStr">
        <is>
          <t>Angolo del Pulito (pulizia)</t>
        </is>
      </c>
      <c r="C132" s="11" t="n">
        <v>2</v>
      </c>
      <c r="D132" s="13" t="inlineStr">
        <is>
          <t>Banca</t>
        </is>
      </c>
      <c r="E132" s="8" t="n"/>
      <c r="F132" s="13" t="n"/>
    </row>
    <row r="133" ht="14.25" customHeight="1" s="33">
      <c r="A133" s="13" t="inlineStr">
        <is>
          <t>08/10/2025</t>
        </is>
      </c>
      <c r="B133" s="13" t="inlineStr">
        <is>
          <t>BRICO IO Foligno</t>
        </is>
      </c>
      <c r="C133" s="11" t="n">
        <v>10.9</v>
      </c>
      <c r="D133" s="13" t="inlineStr">
        <is>
          <t>Banca</t>
        </is>
      </c>
      <c r="E133" s="8" t="n"/>
      <c r="F133" s="13" t="n"/>
    </row>
    <row r="134" ht="14.25" customHeight="1" s="33">
      <c r="A134" s="13" t="inlineStr">
        <is>
          <t>15/10/2025</t>
        </is>
      </c>
      <c r="B134" s="13" t="inlineStr">
        <is>
          <t>BRICO IO Foligno</t>
        </is>
      </c>
      <c r="C134" s="11" t="n">
        <v>10.97</v>
      </c>
      <c r="D134" s="13" t="inlineStr">
        <is>
          <t>Banca</t>
        </is>
      </c>
      <c r="E134" s="8" t="n"/>
      <c r="F134" s="13" t="n"/>
    </row>
    <row r="135" ht="14.25" customHeight="1" s="33">
      <c r="A135" s="13" t="inlineStr">
        <is>
          <t>29/10/2025</t>
        </is>
      </c>
      <c r="B135" s="13" t="inlineStr">
        <is>
          <t>La Primula Foligno</t>
        </is>
      </c>
      <c r="C135" s="11" t="n">
        <v>30</v>
      </c>
      <c r="D135" s="13" t="inlineStr">
        <is>
          <t>Banca</t>
        </is>
      </c>
      <c r="E135" s="8" t="n"/>
      <c r="F135" s="13" t="n"/>
    </row>
    <row r="136" ht="14.25" customHeight="1" s="33">
      <c r="A136" s="13" t="inlineStr">
        <is>
          <t>12/11/2025</t>
        </is>
      </c>
      <c r="B136" s="13" t="inlineStr">
        <is>
          <t>Rica Gest SRL Perugia</t>
        </is>
      </c>
      <c r="C136" s="11" t="n">
        <v>6.66</v>
      </c>
      <c r="D136" s="13" t="inlineStr">
        <is>
          <t>Banca</t>
        </is>
      </c>
      <c r="E136" s="8" t="n"/>
      <c r="F136" s="13" t="n"/>
    </row>
    <row r="137" ht="14.25" customHeight="1" s="33">
      <c r="A137" s="13" t="inlineStr">
        <is>
          <t>26/11/2025</t>
        </is>
      </c>
      <c r="B137" s="13" t="inlineStr">
        <is>
          <t>Locker InPost</t>
        </is>
      </c>
      <c r="C137" s="11" t="n">
        <v>6.99</v>
      </c>
      <c r="D137" s="13" t="inlineStr">
        <is>
          <t>Banca</t>
        </is>
      </c>
      <c r="E137" s="8" t="n"/>
      <c r="F137" s="13" t="n"/>
    </row>
    <row r="138" ht="14.25" customHeight="1" s="33">
      <c r="A138" s="13" t="inlineStr">
        <is>
          <t>24/02/2026</t>
        </is>
      </c>
      <c r="B138" s="13" t="inlineStr">
        <is>
          <t>Deumidificatore</t>
        </is>
      </c>
      <c r="C138" s="11" t="n">
        <v>100</v>
      </c>
      <c r="D138" s="13" t="inlineStr">
        <is>
          <t>Banca</t>
        </is>
      </c>
      <c r="E138" s="8" t="n"/>
      <c r="F138" s="13" t="n"/>
    </row>
    <row r="139" ht="14.25" customHeight="1" s="33">
      <c r="A139" s="13" t="inlineStr">
        <is>
          <t>16/03/2026</t>
        </is>
      </c>
      <c r="B139" s="13" t="inlineStr">
        <is>
          <t>Agridee Bevagna</t>
        </is>
      </c>
      <c r="C139" s="11" t="n">
        <v>28.9</v>
      </c>
      <c r="D139" s="13" t="inlineStr">
        <is>
          <t>Banca</t>
        </is>
      </c>
      <c r="E139" s="8" t="n"/>
      <c r="F139" s="13" t="n"/>
    </row>
    <row r="140" ht="14.25" customHeight="1" s="33">
      <c r="A140" s="13" t="inlineStr">
        <is>
          <t>16/03/2026</t>
        </is>
      </c>
      <c r="B140" s="13" t="inlineStr">
        <is>
          <t>BRICO IO Foligno</t>
        </is>
      </c>
      <c r="C140" s="11" t="n">
        <v>16.49</v>
      </c>
      <c r="D140" s="13" t="inlineStr">
        <is>
          <t>Banca</t>
        </is>
      </c>
      <c r="E140" s="8" t="n"/>
      <c r="F140" s="13" t="n"/>
    </row>
    <row r="141" ht="14.25" customHeight="1" s="33">
      <c r="A141" s="9" t="inlineStr">
        <is>
          <t>TOTALE</t>
        </is>
      </c>
      <c r="B141" s="9" t="n"/>
      <c r="C141" s="10">
        <f>SUM(C128:C140)</f>
        <v/>
      </c>
      <c r="D141" s="9" t="n"/>
      <c r="E141" s="9" t="n"/>
      <c r="F141" s="9" t="n"/>
    </row>
    <row r="142" ht="14.25" customHeight="1" s="33"/>
    <row r="143" ht="14.25" customHeight="1" s="33">
      <c r="A143" s="34" t="inlineStr">
        <is>
          <t>VIAGGI - NAPOLI/ROMA (11-12 Ott)</t>
        </is>
      </c>
      <c r="B143" s="35" t="n"/>
      <c r="C143" s="35" t="n"/>
      <c r="D143" s="35" t="n"/>
      <c r="E143" s="35" t="n"/>
      <c r="F143" s="36" t="n"/>
    </row>
    <row r="144" ht="14.25" customHeight="1" s="33">
      <c r="A144" s="5" t="inlineStr">
        <is>
          <t>Data</t>
        </is>
      </c>
      <c r="B144" s="5" t="inlineStr">
        <is>
          <t>Descrizione</t>
        </is>
      </c>
      <c r="C144" s="5" t="inlineStr">
        <is>
          <t>Importo</t>
        </is>
      </c>
      <c r="D144" s="5" t="inlineStr">
        <is>
          <t>Fonte</t>
        </is>
      </c>
      <c r="E144" s="5" t="inlineStr">
        <is>
          <t>Pagato</t>
        </is>
      </c>
      <c r="F144" s="5" t="inlineStr">
        <is>
          <t>Note</t>
        </is>
      </c>
    </row>
    <row r="145" ht="14.25" customHeight="1" s="33">
      <c r="A145" s="13" t="inlineStr">
        <is>
          <t>11/10/2025</t>
        </is>
      </c>
      <c r="B145" s="13" t="inlineStr">
        <is>
          <t>Benzina Q8 Cioccoloni</t>
        </is>
      </c>
      <c r="C145" s="11" t="n">
        <v>48.3</v>
      </c>
      <c r="D145" s="13" t="inlineStr">
        <is>
          <t>Banca</t>
        </is>
      </c>
      <c r="E145" s="8" t="n"/>
      <c r="F145" s="13" t="n"/>
    </row>
    <row r="146" ht="14.25" customHeight="1" s="33">
      <c r="A146" s="13" t="inlineStr">
        <is>
          <t>11/10/2025</t>
        </is>
      </c>
      <c r="B146" s="13" t="inlineStr">
        <is>
          <t>Bella Napoli ristorante</t>
        </is>
      </c>
      <c r="C146" s="11" t="n">
        <v>21.6</v>
      </c>
      <c r="D146" s="13" t="inlineStr">
        <is>
          <t>Banca</t>
        </is>
      </c>
      <c r="E146" s="8" t="n"/>
      <c r="F146" s="13" t="n"/>
    </row>
    <row r="147" ht="14.25" customHeight="1" s="33">
      <c r="A147" s="13" t="inlineStr">
        <is>
          <t>11/10/2025</t>
        </is>
      </c>
      <c r="B147" s="13" t="inlineStr">
        <is>
          <t>Trattoria il Pizzi Aquino</t>
        </is>
      </c>
      <c r="C147" s="11" t="n">
        <v>40</v>
      </c>
      <c r="D147" s="13" t="inlineStr">
        <is>
          <t>Banca</t>
        </is>
      </c>
      <c r="E147" s="8" t="n"/>
      <c r="F147" s="13" t="n"/>
    </row>
    <row r="148" ht="14.25" customHeight="1" s="33">
      <c r="A148" s="13" t="inlineStr">
        <is>
          <t>11/10/2025</t>
        </is>
      </c>
      <c r="B148" s="13" t="inlineStr">
        <is>
          <t>PV ENI Castrocielo benzina</t>
        </is>
      </c>
      <c r="C148" s="11" t="n">
        <v>17.3</v>
      </c>
      <c r="D148" s="13" t="inlineStr">
        <is>
          <t>Banca</t>
        </is>
      </c>
      <c r="E148" s="8" t="n"/>
      <c r="F148" s="13" t="n"/>
    </row>
    <row r="149" ht="14.25" customHeight="1" s="33">
      <c r="A149" s="13" t="inlineStr">
        <is>
          <t>11/10/2025</t>
        </is>
      </c>
      <c r="B149" s="13" t="inlineStr">
        <is>
          <t>Caseificio La Pagliara</t>
        </is>
      </c>
      <c r="C149" s="11" t="n">
        <v>46.3</v>
      </c>
      <c r="D149" s="13" t="inlineStr">
        <is>
          <t>Banca</t>
        </is>
      </c>
      <c r="E149" s="8" t="n"/>
      <c r="F149" s="13" t="n"/>
    </row>
    <row r="150" ht="14.25" customHeight="1" s="33">
      <c r="A150" s="13" t="inlineStr">
        <is>
          <t>11/10/2025</t>
        </is>
      </c>
      <c r="B150" s="13" t="inlineStr">
        <is>
          <t>Elisabetta Forlingieri</t>
        </is>
      </c>
      <c r="C150" s="11" t="n">
        <v>1.1</v>
      </c>
      <c r="D150" s="13" t="inlineStr">
        <is>
          <t>Banca</t>
        </is>
      </c>
      <c r="E150" s="8" t="n"/>
      <c r="F150" s="13" t="n"/>
    </row>
    <row r="151" ht="14.25" customHeight="1" s="33">
      <c r="A151" s="13" t="inlineStr">
        <is>
          <t>11/10/2025</t>
        </is>
      </c>
      <c r="B151" s="13" t="inlineStr">
        <is>
          <t>Autostrada Napoli Nord</t>
        </is>
      </c>
      <c r="C151" s="11" t="n">
        <v>4.7</v>
      </c>
      <c r="D151" s="13" t="inlineStr">
        <is>
          <t>Banca</t>
        </is>
      </c>
      <c r="E151" s="8" t="n"/>
      <c r="F151" s="13" t="n"/>
    </row>
    <row r="152" ht="14.25" customHeight="1" s="33">
      <c r="A152" s="13" t="inlineStr">
        <is>
          <t>11/10/2025</t>
        </is>
      </c>
      <c r="B152" s="13" t="inlineStr">
        <is>
          <t>Trasporto Napoli</t>
        </is>
      </c>
      <c r="C152" s="11" t="n">
        <v>4.5</v>
      </c>
      <c r="D152" s="13" t="inlineStr">
        <is>
          <t>Banca</t>
        </is>
      </c>
      <c r="E152" s="8" t="n"/>
      <c r="F152" s="13" t="n"/>
    </row>
    <row r="153" ht="14.25" customHeight="1" s="33">
      <c r="A153" s="13" t="inlineStr">
        <is>
          <t>11/10/2025</t>
        </is>
      </c>
      <c r="B153" s="13" t="inlineStr">
        <is>
          <t>BAR Napoli</t>
        </is>
      </c>
      <c r="C153" s="11" t="n">
        <v>4</v>
      </c>
      <c r="D153" s="13" t="inlineStr">
        <is>
          <t>Banca</t>
        </is>
      </c>
      <c r="E153" s="8" t="n"/>
      <c r="F153" s="13" t="n"/>
    </row>
    <row r="154" ht="14.25" customHeight="1" s="33">
      <c r="A154" s="13" t="inlineStr">
        <is>
          <t>11/10/2025</t>
        </is>
      </c>
      <c r="B154" s="13" t="inlineStr">
        <is>
          <t>Gelato Mennella Napoli</t>
        </is>
      </c>
      <c r="C154" s="11" t="n">
        <v>7</v>
      </c>
      <c r="D154" s="13" t="inlineStr">
        <is>
          <t>Banca</t>
        </is>
      </c>
      <c r="E154" s="8" t="n"/>
      <c r="F154" s="13" t="n"/>
    </row>
    <row r="155" ht="14.25" customHeight="1" s="33">
      <c r="A155" s="13" t="inlineStr">
        <is>
          <t>12/10/2025</t>
        </is>
      </c>
      <c r="B155" s="13" t="inlineStr">
        <is>
          <t>Seven Hills Roma trasporto</t>
        </is>
      </c>
      <c r="C155" s="11" t="n">
        <v>36</v>
      </c>
      <c r="D155" s="13" t="inlineStr">
        <is>
          <t>Banca</t>
        </is>
      </c>
      <c r="E155" s="8" t="n"/>
      <c r="F155" s="13" t="n"/>
    </row>
    <row r="156" ht="14.25" customHeight="1" s="33">
      <c r="A156" s="13" t="inlineStr">
        <is>
          <t>12/10/2025</t>
        </is>
      </c>
      <c r="B156" s="13" t="inlineStr">
        <is>
          <t>Easy Service benzina Roma</t>
        </is>
      </c>
      <c r="C156" s="11" t="n">
        <v>27.51</v>
      </c>
      <c r="D156" s="13" t="inlineStr">
        <is>
          <t>Banca</t>
        </is>
      </c>
      <c r="E156" s="8" t="n"/>
      <c r="F156" s="13" t="n"/>
    </row>
    <row r="157" ht="14.25" customHeight="1" s="33">
      <c r="A157" s="13" t="inlineStr">
        <is>
          <t>12/10/2025</t>
        </is>
      </c>
      <c r="B157" s="13" t="inlineStr">
        <is>
          <t>CONAD Roma</t>
        </is>
      </c>
      <c r="C157" s="11" t="n">
        <v>14.13</v>
      </c>
      <c r="D157" s="13" t="inlineStr">
        <is>
          <t>Banca</t>
        </is>
      </c>
      <c r="E157" s="8" t="n"/>
      <c r="F157" s="13" t="n"/>
    </row>
    <row r="158" ht="14.25" customHeight="1" s="33">
      <c r="A158" s="13" t="inlineStr">
        <is>
          <t>12/10/2025</t>
        </is>
      </c>
      <c r="B158" s="13" t="inlineStr">
        <is>
          <t>Manis Bistrot Roma</t>
        </is>
      </c>
      <c r="C158" s="11" t="n">
        <v>9.6</v>
      </c>
      <c r="D158" s="13" t="inlineStr">
        <is>
          <t>Banca</t>
        </is>
      </c>
      <c r="E158" s="8" t="n"/>
      <c r="F158" s="13" t="n"/>
    </row>
    <row r="159" ht="14.25" customHeight="1" s="33">
      <c r="A159" s="13" t="inlineStr">
        <is>
          <t>12/10/2025</t>
        </is>
      </c>
      <c r="B159" s="13" t="inlineStr">
        <is>
          <t>Autostrada Attigliano</t>
        </is>
      </c>
      <c r="C159" s="11" t="n">
        <v>5.7</v>
      </c>
      <c r="D159" s="13" t="inlineStr">
        <is>
          <t>Banca</t>
        </is>
      </c>
      <c r="E159" s="8" t="n"/>
      <c r="F159" s="13" t="n"/>
    </row>
    <row r="160" ht="14.25" customHeight="1" s="33">
      <c r="A160" s="13" t="inlineStr">
        <is>
          <t>12/10/2025</t>
        </is>
      </c>
      <c r="B160" s="13" t="inlineStr">
        <is>
          <t>Synergy benzina Colletorto</t>
        </is>
      </c>
      <c r="C160" s="11" t="n">
        <v>4.87</v>
      </c>
      <c r="D160" s="13" t="inlineStr">
        <is>
          <t>Banca</t>
        </is>
      </c>
      <c r="E160" s="8" t="n"/>
      <c r="F160" s="13" t="n"/>
    </row>
    <row r="161" ht="14.25" customHeight="1" s="33">
      <c r="A161" s="9" t="inlineStr">
        <is>
          <t>TOTALE</t>
        </is>
      </c>
      <c r="B161" s="9" t="n"/>
      <c r="C161" s="10">
        <f>SUM(C145:C160)</f>
        <v/>
      </c>
      <c r="D161" s="9" t="n"/>
      <c r="E161" s="9" t="n"/>
      <c r="F161" s="9" t="n"/>
    </row>
    <row r="162" ht="14.25" customHeight="1" s="33"/>
    <row r="163" ht="14.25" customHeight="1" s="33">
      <c r="A163" s="34" t="inlineStr">
        <is>
          <t>VIAGGI - PISA (29 Nov)</t>
        </is>
      </c>
      <c r="B163" s="35" t="n"/>
      <c r="C163" s="35" t="n"/>
      <c r="D163" s="35" t="n"/>
      <c r="E163" s="35" t="n"/>
      <c r="F163" s="36" t="n"/>
    </row>
    <row r="164" ht="14.25" customHeight="1" s="33">
      <c r="A164" s="5" t="inlineStr">
        <is>
          <t>Data</t>
        </is>
      </c>
      <c r="B164" s="5" t="inlineStr">
        <is>
          <t>Descrizione</t>
        </is>
      </c>
      <c r="C164" s="5" t="inlineStr">
        <is>
          <t>Importo</t>
        </is>
      </c>
      <c r="D164" s="5" t="inlineStr">
        <is>
          <t>Fonte</t>
        </is>
      </c>
      <c r="E164" s="5" t="inlineStr">
        <is>
          <t>Pagato</t>
        </is>
      </c>
      <c r="F164" s="5" t="inlineStr">
        <is>
          <t>Note</t>
        </is>
      </c>
    </row>
    <row r="165" ht="14.25" customHeight="1" s="33">
      <c r="A165" s="13" t="inlineStr">
        <is>
          <t>29/11/2025</t>
        </is>
      </c>
      <c r="B165" s="13" t="inlineStr">
        <is>
          <t>Benzina ENGO Empoli</t>
        </is>
      </c>
      <c r="C165" s="11" t="n">
        <v>16</v>
      </c>
      <c r="D165" s="13" t="inlineStr">
        <is>
          <t>Banca</t>
        </is>
      </c>
      <c r="E165" s="8" t="n"/>
      <c r="F165" s="13" t="n"/>
    </row>
    <row r="166" ht="14.25" customHeight="1" s="33">
      <c r="A166" s="13" t="inlineStr">
        <is>
          <t>29/11/2025</t>
        </is>
      </c>
      <c r="B166" s="13" t="inlineStr">
        <is>
          <t>Dream Guest Ho Pisa (hotel)</t>
        </is>
      </c>
      <c r="C166" s="11" t="n">
        <v>120</v>
      </c>
      <c r="D166" s="13" t="inlineStr">
        <is>
          <t>Banca</t>
        </is>
      </c>
      <c r="E166" s="8" t="n"/>
      <c r="F166" s="13" t="n"/>
    </row>
    <row r="167" ht="14.25" customHeight="1" s="33">
      <c r="A167" s="13" t="inlineStr">
        <is>
          <t>29/11/2025</t>
        </is>
      </c>
      <c r="B167" s="13" t="inlineStr">
        <is>
          <t>Parcheggio Pisa</t>
        </is>
      </c>
      <c r="C167" s="11" t="n">
        <v>5.8</v>
      </c>
      <c r="D167" s="13" t="inlineStr">
        <is>
          <t>Banca</t>
        </is>
      </c>
      <c r="E167" s="8" t="n"/>
      <c r="F167" s="13" t="n"/>
    </row>
    <row r="168" ht="14.25" customHeight="1" s="33">
      <c r="A168" s="13" t="inlineStr">
        <is>
          <t>29/11/2025</t>
        </is>
      </c>
      <c r="B168" s="13" t="inlineStr">
        <is>
          <t>L'Ostellino Pisa ristorante</t>
        </is>
      </c>
      <c r="C168" s="11" t="n">
        <v>19</v>
      </c>
      <c r="D168" s="13" t="inlineStr">
        <is>
          <t>Banca</t>
        </is>
      </c>
      <c r="E168" s="8" t="n"/>
      <c r="F168" s="13" t="n"/>
    </row>
    <row r="169" ht="14.25" customHeight="1" s="33">
      <c r="A169" s="13" t="inlineStr">
        <is>
          <t>29/11/2025</t>
        </is>
      </c>
      <c r="B169" s="13" t="inlineStr">
        <is>
          <t>Tabaccheria 21 Pisa</t>
        </is>
      </c>
      <c r="C169" s="11" t="n">
        <v>12.9</v>
      </c>
      <c r="D169" s="13" t="inlineStr">
        <is>
          <t>Banca</t>
        </is>
      </c>
      <c r="E169" s="8" t="n"/>
      <c r="F169" s="13" t="n"/>
    </row>
    <row r="170" ht="14.25" customHeight="1" s="33">
      <c r="A170" s="13" t="inlineStr">
        <is>
          <t>29/11/2025</t>
        </is>
      </c>
      <c r="B170" s="13" t="inlineStr">
        <is>
          <t>Peperosa Pisa ristorante</t>
        </is>
      </c>
      <c r="C170" s="11" t="n">
        <v>60</v>
      </c>
      <c r="D170" s="13" t="inlineStr">
        <is>
          <t>Banca</t>
        </is>
      </c>
      <c r="E170" s="8" t="n"/>
      <c r="F170" s="13" t="n"/>
    </row>
    <row r="171" ht="14.25" customHeight="1" s="33">
      <c r="A171" s="13" t="inlineStr">
        <is>
          <t>30/11/2025</t>
        </is>
      </c>
      <c r="B171" s="13" t="inlineStr">
        <is>
          <t>Mobilita MyCicero</t>
        </is>
      </c>
      <c r="C171" s="11" t="n">
        <v>5.42</v>
      </c>
      <c r="D171" s="13" t="inlineStr">
        <is>
          <t>Banca</t>
        </is>
      </c>
      <c r="E171" s="8" t="n"/>
      <c r="F171" s="13" t="n"/>
    </row>
    <row r="172" ht="14.25" customHeight="1" s="33">
      <c r="A172" s="13" t="inlineStr">
        <is>
          <t>30/11/2025</t>
        </is>
      </c>
      <c r="B172" s="13" t="inlineStr">
        <is>
          <t>Autostrada Bettolle</t>
        </is>
      </c>
      <c r="C172" s="11" t="n">
        <v>7.8</v>
      </c>
      <c r="D172" s="13" t="inlineStr">
        <is>
          <t>Banca</t>
        </is>
      </c>
      <c r="E172" s="8" t="n"/>
      <c r="F172" s="13" t="n"/>
    </row>
    <row r="173" ht="14.25" customHeight="1" s="33">
      <c r="A173" s="13" t="inlineStr">
        <is>
          <t>30/11/2025</t>
        </is>
      </c>
      <c r="B173" s="13" t="inlineStr">
        <is>
          <t>Benzina Perugia</t>
        </is>
      </c>
      <c r="C173" s="11" t="n">
        <v>19.55</v>
      </c>
      <c r="D173" s="13" t="inlineStr">
        <is>
          <t>Banca</t>
        </is>
      </c>
      <c r="E173" s="8" t="n"/>
      <c r="F173" s="13" t="n"/>
    </row>
    <row r="174" ht="14.25" customHeight="1" s="33">
      <c r="A174" s="9" t="inlineStr">
        <is>
          <t>TOTALE</t>
        </is>
      </c>
      <c r="B174" s="9" t="n"/>
      <c r="C174" s="10">
        <f>SUM(C165:C173)</f>
        <v/>
      </c>
      <c r="D174" s="9" t="n"/>
      <c r="E174" s="9" t="n"/>
      <c r="F174" s="9" t="n"/>
    </row>
    <row r="175" ht="14.25" customHeight="1" s="33"/>
    <row r="176" ht="14.25" customHeight="1" s="33">
      <c r="A176" s="34" t="inlineStr">
        <is>
          <t>VIAGGI - SESTOLA SCI (27-29 Dic)</t>
        </is>
      </c>
      <c r="B176" s="35" t="n"/>
      <c r="C176" s="35" t="n"/>
      <c r="D176" s="35" t="n"/>
      <c r="E176" s="35" t="n"/>
      <c r="F176" s="36" t="n"/>
    </row>
    <row r="177" ht="14.25" customHeight="1" s="33">
      <c r="A177" s="5" t="inlineStr">
        <is>
          <t>Data</t>
        </is>
      </c>
      <c r="B177" s="5" t="inlineStr">
        <is>
          <t>Descrizione</t>
        </is>
      </c>
      <c r="C177" s="5" t="inlineStr">
        <is>
          <t>Importo</t>
        </is>
      </c>
      <c r="D177" s="5" t="inlineStr">
        <is>
          <t>Fonte</t>
        </is>
      </c>
      <c r="E177" s="5" t="inlineStr">
        <is>
          <t>Pagato</t>
        </is>
      </c>
      <c r="F177" s="5" t="inlineStr">
        <is>
          <t>Note</t>
        </is>
      </c>
    </row>
    <row r="178" ht="14.25" customHeight="1" s="33">
      <c r="A178" s="13" t="inlineStr">
        <is>
          <t>26/12/2025</t>
        </is>
      </c>
      <c r="B178" s="13" t="inlineStr">
        <is>
          <t>Autostrada Bologna</t>
        </is>
      </c>
      <c r="C178" s="11" t="n">
        <v>7.5</v>
      </c>
      <c r="D178" s="13" t="inlineStr">
        <is>
          <t>Banca</t>
        </is>
      </c>
      <c r="E178" s="8" t="n"/>
      <c r="F178" s="13" t="n"/>
    </row>
    <row r="179" ht="14.25" customHeight="1" s="33">
      <c r="A179" s="13" t="inlineStr">
        <is>
          <t>26/12/2025</t>
        </is>
      </c>
      <c r="B179" s="13" t="inlineStr">
        <is>
          <t>Benzina ENI Zola Predosa</t>
        </is>
      </c>
      <c r="C179" s="11" t="n">
        <v>26</v>
      </c>
      <c r="D179" s="13" t="inlineStr">
        <is>
          <t>Banca</t>
        </is>
      </c>
      <c r="E179" s="8" t="n"/>
      <c r="F179" s="13" t="n"/>
    </row>
    <row r="180" ht="14.25" customHeight="1" s="33">
      <c r="A180" s="13" t="inlineStr">
        <is>
          <t>26/12/2025</t>
        </is>
      </c>
      <c r="B180" s="13" t="inlineStr">
        <is>
          <t>Autostrada Valsamoggia</t>
        </is>
      </c>
      <c r="C180" s="11" t="n">
        <v>0.8</v>
      </c>
      <c r="D180" s="13" t="inlineStr">
        <is>
          <t>Banca</t>
        </is>
      </c>
      <c r="E180" s="8" t="n"/>
      <c r="F180" s="13" t="n"/>
    </row>
    <row r="181" ht="14.25" customHeight="1" s="33">
      <c r="A181" s="13" t="inlineStr">
        <is>
          <t>27/12/2025</t>
        </is>
      </c>
      <c r="B181" s="13" t="inlineStr">
        <is>
          <t>Parcheggio Sestola</t>
        </is>
      </c>
      <c r="C181" s="11" t="n">
        <v>6</v>
      </c>
      <c r="D181" s="13" t="inlineStr">
        <is>
          <t>Banca</t>
        </is>
      </c>
      <c r="E181" s="8" t="n"/>
      <c r="F181" s="13" t="n"/>
    </row>
    <row r="182" ht="14.25" customHeight="1" s="33">
      <c r="A182" s="13" t="inlineStr">
        <is>
          <t>27/12/2025</t>
        </is>
      </c>
      <c r="B182" s="13" t="inlineStr">
        <is>
          <t>Ristoro Sciatore bar</t>
        </is>
      </c>
      <c r="C182" s="11" t="n">
        <v>3</v>
      </c>
      <c r="D182" s="13" t="inlineStr">
        <is>
          <t>Banca</t>
        </is>
      </c>
      <c r="E182" s="8" t="n"/>
      <c r="F182" s="13" t="n"/>
    </row>
    <row r="183" ht="14.25" customHeight="1" s="33">
      <c r="A183" s="13" t="inlineStr">
        <is>
          <t>27/12/2025</t>
        </is>
      </c>
      <c r="B183" s="13" t="inlineStr">
        <is>
          <t>Hotel Passo del Lupo</t>
        </is>
      </c>
      <c r="C183" s="11" t="n">
        <v>28</v>
      </c>
      <c r="D183" s="13" t="inlineStr">
        <is>
          <t>Banca</t>
        </is>
      </c>
      <c r="E183" s="8" t="n"/>
      <c r="F183" s="13" t="n"/>
    </row>
    <row r="184" ht="14.25" customHeight="1" s="33">
      <c r="A184" s="13" t="inlineStr">
        <is>
          <t>27/12/2025</t>
        </is>
      </c>
      <c r="B184" s="13" t="inlineStr">
        <is>
          <t>Cimone Marittima ristorante</t>
        </is>
      </c>
      <c r="C184" s="11" t="n">
        <v>6</v>
      </c>
      <c r="D184" s="13" t="inlineStr">
        <is>
          <t>Banca</t>
        </is>
      </c>
      <c r="E184" s="8" t="n"/>
      <c r="F184" s="13" t="n"/>
    </row>
    <row r="185" ht="14.25" customHeight="1" s="33">
      <c r="A185" s="13" t="inlineStr">
        <is>
          <t>27/12/2025</t>
        </is>
      </c>
      <c r="B185" s="13" t="inlineStr">
        <is>
          <t>Benzina Barbergas</t>
        </is>
      </c>
      <c r="C185" s="11" t="n">
        <v>13.61</v>
      </c>
      <c r="D185" s="13" t="inlineStr">
        <is>
          <t>Banca</t>
        </is>
      </c>
      <c r="E185" s="8" t="n"/>
      <c r="F185" s="13" t="n"/>
    </row>
    <row r="186" ht="14.25" customHeight="1" s="33">
      <c r="A186" s="13" t="inlineStr">
        <is>
          <t>28/12/2025</t>
        </is>
      </c>
      <c r="B186" s="13" t="inlineStr">
        <is>
          <t>Parcheggio Sestola</t>
        </is>
      </c>
      <c r="C186" s="11" t="n">
        <v>6</v>
      </c>
      <c r="D186" s="13" t="inlineStr">
        <is>
          <t>Banca</t>
        </is>
      </c>
      <c r="E186" s="8" t="n"/>
      <c r="F186" s="13" t="n"/>
    </row>
    <row r="187" ht="14.25" customHeight="1" s="33">
      <c r="A187" s="13" t="inlineStr">
        <is>
          <t>28/12/2025</t>
        </is>
      </c>
      <c r="B187" s="13" t="inlineStr">
        <is>
          <t>Ristoro Sciatore bar</t>
        </is>
      </c>
      <c r="C187" s="11" t="n">
        <v>6.4</v>
      </c>
      <c r="D187" s="13" t="inlineStr">
        <is>
          <t>Banca</t>
        </is>
      </c>
      <c r="E187" s="8" t="n"/>
      <c r="F187" s="13" t="n"/>
    </row>
    <row r="188" ht="14.25" customHeight="1" s="33">
      <c r="A188" s="13" t="inlineStr">
        <is>
          <t>28/12/2025</t>
        </is>
      </c>
      <c r="B188" s="13" t="inlineStr">
        <is>
          <t>Hotel Passo del Lupo</t>
        </is>
      </c>
      <c r="C188" s="11" t="n">
        <v>23</v>
      </c>
      <c r="D188" s="13" t="inlineStr">
        <is>
          <t>Banca</t>
        </is>
      </c>
      <c r="E188" s="8" t="n"/>
      <c r="F188" s="13" t="n"/>
    </row>
    <row r="189" ht="14.25" customHeight="1" s="33">
      <c r="A189" s="13" t="inlineStr">
        <is>
          <t>29/12/2025</t>
        </is>
      </c>
      <c r="B189" s="13" t="inlineStr">
        <is>
          <t>Parcheggio Sestola</t>
        </is>
      </c>
      <c r="C189" s="11" t="n">
        <v>6</v>
      </c>
      <c r="D189" s="13" t="inlineStr">
        <is>
          <t>Banca</t>
        </is>
      </c>
      <c r="E189" s="8" t="n"/>
      <c r="F189" s="13" t="n"/>
    </row>
    <row r="190" ht="14.25" customHeight="1" s="33">
      <c r="A190" s="13" t="inlineStr">
        <is>
          <t>29/12/2025</t>
        </is>
      </c>
      <c r="B190" s="13" t="inlineStr">
        <is>
          <t>Ristoro Sciatore</t>
        </is>
      </c>
      <c r="C190" s="11" t="n">
        <v>7</v>
      </c>
      <c r="D190" s="13" t="inlineStr">
        <is>
          <t>Banca</t>
        </is>
      </c>
      <c r="E190" s="8" t="n"/>
      <c r="F190" s="13" t="n"/>
    </row>
    <row r="191" ht="14.25" customHeight="1" s="33">
      <c r="A191" s="13" t="inlineStr">
        <is>
          <t>29/12/2025</t>
        </is>
      </c>
      <c r="B191" s="13" t="inlineStr">
        <is>
          <t>Ristoro Sciatore</t>
        </is>
      </c>
      <c r="C191" s="11" t="n">
        <v>1.5</v>
      </c>
      <c r="D191" s="13" t="inlineStr">
        <is>
          <t>Banca</t>
        </is>
      </c>
      <c r="E191" s="8" t="n"/>
      <c r="F191" s="13" t="n"/>
    </row>
    <row r="192" ht="14.25" customHeight="1" s="33">
      <c r="A192" s="12" t="n">
        <v>46017</v>
      </c>
      <c r="B192" s="13" t="inlineStr">
        <is>
          <t>Skipass</t>
        </is>
      </c>
      <c r="C192" s="11" t="n">
        <v>300</v>
      </c>
      <c r="D192" s="13" t="inlineStr">
        <is>
          <t>Contanti</t>
        </is>
      </c>
      <c r="E192" s="8" t="n"/>
      <c r="F192" s="13" t="n"/>
    </row>
    <row r="193" ht="14.25" customHeight="1" s="33">
      <c r="A193" s="9" t="inlineStr">
        <is>
          <t>TOTALE</t>
        </is>
      </c>
      <c r="B193" s="9" t="n"/>
      <c r="C193" s="10">
        <f>SUM(C178:C192)</f>
        <v/>
      </c>
      <c r="D193" s="9" t="n"/>
      <c r="E193" s="9" t="n"/>
      <c r="F193" s="9" t="n"/>
    </row>
    <row r="194" ht="14.25" customHeight="1" s="33"/>
    <row r="195" ht="14.25" customHeight="1" s="33">
      <c r="A195" s="34" t="inlineStr">
        <is>
          <t>VIAGGI - VOLI/PRENOTAZIONI</t>
        </is>
      </c>
      <c r="B195" s="35" t="n"/>
      <c r="C195" s="35" t="n"/>
      <c r="D195" s="35" t="n"/>
      <c r="E195" s="35" t="n"/>
      <c r="F195" s="36" t="n"/>
    </row>
    <row r="196" ht="14.25" customHeight="1" s="33">
      <c r="A196" s="5" t="inlineStr">
        <is>
          <t>Data</t>
        </is>
      </c>
      <c r="B196" s="5" t="inlineStr">
        <is>
          <t>Descrizione</t>
        </is>
      </c>
      <c r="C196" s="5" t="inlineStr">
        <is>
          <t>Importo</t>
        </is>
      </c>
      <c r="D196" s="5" t="inlineStr">
        <is>
          <t>Fonte</t>
        </is>
      </c>
      <c r="E196" s="5" t="inlineStr">
        <is>
          <t>Pagato</t>
        </is>
      </c>
      <c r="F196" s="5" t="inlineStr">
        <is>
          <t>Note</t>
        </is>
      </c>
    </row>
    <row r="197" ht="14.25" customHeight="1" s="33">
      <c r="A197" s="13" t="inlineStr">
        <is>
          <t>07/11/2025</t>
        </is>
      </c>
      <c r="B197" s="13" t="inlineStr">
        <is>
          <t>eDreams - volo (PayPal)</t>
        </is>
      </c>
      <c r="C197" s="11" t="n">
        <v>205.73</v>
      </c>
      <c r="D197" s="13" t="inlineStr">
        <is>
          <t>PayPal</t>
        </is>
      </c>
      <c r="E197" s="8" t="n"/>
      <c r="F197" s="13" t="n"/>
    </row>
    <row r="198" ht="14.25" customHeight="1" s="33">
      <c r="A198" s="9" t="inlineStr">
        <is>
          <t>TOTALE</t>
        </is>
      </c>
      <c r="B198" s="9" t="n"/>
      <c r="C198" s="10">
        <f>SUM(C197)</f>
        <v/>
      </c>
      <c r="D198" s="9" t="n"/>
      <c r="E198" s="9" t="n"/>
      <c r="F198" s="9" t="n"/>
    </row>
    <row r="199" ht="14.25" customHeight="1" s="33"/>
    <row r="200" ht="14.25" customHeight="1" s="33">
      <c r="A200" s="34" t="inlineStr">
        <is>
          <t>RISTORANTI / BAR (locale)</t>
        </is>
      </c>
      <c r="B200" s="35" t="n"/>
      <c r="C200" s="35" t="n"/>
      <c r="D200" s="35" t="n"/>
      <c r="E200" s="35" t="n"/>
      <c r="F200" s="36" t="n"/>
    </row>
    <row r="201" ht="14.25" customHeight="1" s="33">
      <c r="A201" s="5" t="inlineStr">
        <is>
          <t>Data</t>
        </is>
      </c>
      <c r="B201" s="5" t="inlineStr">
        <is>
          <t>Descrizione</t>
        </is>
      </c>
      <c r="C201" s="5" t="inlineStr">
        <is>
          <t>Importo</t>
        </is>
      </c>
      <c r="D201" s="5" t="inlineStr">
        <is>
          <t>Fonte</t>
        </is>
      </c>
      <c r="E201" s="5" t="inlineStr">
        <is>
          <t>Pagato</t>
        </is>
      </c>
      <c r="F201" s="5" t="inlineStr">
        <is>
          <t>Note</t>
        </is>
      </c>
    </row>
    <row r="202" ht="14.25" customHeight="1" s="33">
      <c r="A202" s="13" t="inlineStr">
        <is>
          <t>13/10/2025</t>
        </is>
      </c>
      <c r="B202" s="13" t="inlineStr">
        <is>
          <t>Le Fornaci di Coletti Perugia</t>
        </is>
      </c>
      <c r="C202" s="11" t="n">
        <v>10.3</v>
      </c>
      <c r="D202" s="13" t="inlineStr">
        <is>
          <t>Banca</t>
        </is>
      </c>
      <c r="E202" s="8" t="n"/>
      <c r="F202" s="13" t="n"/>
    </row>
    <row r="203" ht="14.25" customHeight="1" s="33">
      <c r="A203" s="13" t="inlineStr">
        <is>
          <t>31/10/2025</t>
        </is>
      </c>
      <c r="B203" s="13" t="inlineStr">
        <is>
          <t>Ristorante Nadir Perugia</t>
        </is>
      </c>
      <c r="C203" s="11" t="n">
        <v>81</v>
      </c>
      <c r="D203" s="13" t="inlineStr">
        <is>
          <t>Banca</t>
        </is>
      </c>
      <c r="E203" s="8" t="n"/>
      <c r="F203" s="13" t="n"/>
    </row>
    <row r="204" ht="14.25" customHeight="1" s="33">
      <c r="A204" s="13" t="inlineStr">
        <is>
          <t>01/11/2025</t>
        </is>
      </c>
      <c r="B204" s="13" t="inlineStr">
        <is>
          <t>Pizzeria Mediterranea Perugia</t>
        </is>
      </c>
      <c r="C204" s="11" t="n">
        <v>22</v>
      </c>
      <c r="D204" s="13" t="inlineStr">
        <is>
          <t>Banca</t>
        </is>
      </c>
      <c r="E204" s="8" t="n"/>
      <c r="F204" s="13" t="n"/>
    </row>
    <row r="205" ht="14.25" customHeight="1" s="33">
      <c r="A205" s="13" t="inlineStr">
        <is>
          <t>01/11/2025</t>
        </is>
      </c>
      <c r="B205" s="13" t="inlineStr">
        <is>
          <t>Cecchini AG SRL Perugia</t>
        </is>
      </c>
      <c r="C205" s="11" t="n">
        <v>6</v>
      </c>
      <c r="D205" s="13" t="inlineStr">
        <is>
          <t>Banca</t>
        </is>
      </c>
      <c r="E205" s="8" t="n"/>
      <c r="F205" s="13" t="n"/>
    </row>
    <row r="206" ht="14.25" customHeight="1" s="33">
      <c r="A206" s="13" t="inlineStr">
        <is>
          <t>13/11/2025</t>
        </is>
      </c>
      <c r="B206" s="13" t="inlineStr">
        <is>
          <t>Bar Pasticceria Aruta Perugia</t>
        </is>
      </c>
      <c r="C206" s="11" t="n">
        <v>2.8</v>
      </c>
      <c r="D206" s="13" t="inlineStr">
        <is>
          <t>Banca</t>
        </is>
      </c>
      <c r="E206" s="8" t="n"/>
      <c r="F206" s="13" t="n"/>
    </row>
    <row r="207" ht="14.25" customHeight="1" s="33">
      <c r="A207" s="13" t="inlineStr">
        <is>
          <t>14/11/2025</t>
        </is>
      </c>
      <c r="B207" s="13" t="inlineStr">
        <is>
          <t>Pizzagrium Perugia</t>
        </is>
      </c>
      <c r="C207" s="11" t="n">
        <v>4.4</v>
      </c>
      <c r="D207" s="13" t="inlineStr">
        <is>
          <t>Banca</t>
        </is>
      </c>
      <c r="E207" s="8" t="n"/>
      <c r="F207" s="13" t="n"/>
    </row>
    <row r="208" ht="14.25" customHeight="1" s="33">
      <c r="A208" s="13" t="inlineStr">
        <is>
          <t>30/11/2025</t>
        </is>
      </c>
      <c r="B208" s="13" t="inlineStr">
        <is>
          <t>Deliveroo</t>
        </is>
      </c>
      <c r="C208" s="11" t="n">
        <v>44.52</v>
      </c>
      <c r="D208" s="13" t="inlineStr">
        <is>
          <t>Banca</t>
        </is>
      </c>
      <c r="E208" s="8" t="n"/>
      <c r="F208" s="13" t="n"/>
    </row>
    <row r="209" ht="14.25" customHeight="1" s="33">
      <c r="A209" s="13" t="inlineStr">
        <is>
          <t>27/02/2026</t>
        </is>
      </c>
      <c r="B209" s="13" t="inlineStr">
        <is>
          <t>Giapp-One Perugia</t>
        </is>
      </c>
      <c r="C209" s="11" t="n">
        <v>44.5</v>
      </c>
      <c r="D209" s="13" t="inlineStr">
        <is>
          <t>Banca</t>
        </is>
      </c>
      <c r="E209" s="8" t="n"/>
      <c r="F209" s="13" t="n"/>
    </row>
    <row r="210" ht="14.25" customHeight="1" s="33">
      <c r="A210" s="13" t="inlineStr">
        <is>
          <t>24/03/2026</t>
        </is>
      </c>
      <c r="B210" s="13" t="inlineStr">
        <is>
          <t>Vesuvio Ristorante Foligno</t>
        </is>
      </c>
      <c r="C210" s="11" t="n">
        <v>7</v>
      </c>
      <c r="D210" s="13" t="inlineStr">
        <is>
          <t>Banca</t>
        </is>
      </c>
      <c r="E210" s="8" t="n"/>
      <c r="F210" s="13" t="n"/>
    </row>
    <row r="211" ht="14.25" customHeight="1" s="33">
      <c r="A211" s="9" t="inlineStr">
        <is>
          <t>TOTALE</t>
        </is>
      </c>
      <c r="B211" s="9" t="n"/>
      <c r="C211" s="10">
        <f>SUM(C202:C210)</f>
        <v/>
      </c>
      <c r="D211" s="9" t="n"/>
      <c r="E211" s="9" t="n"/>
      <c r="F211" s="9" t="n"/>
    </row>
    <row r="212" ht="14.25" customHeight="1" s="33"/>
    <row r="213" ht="14.25" customHeight="1" s="33">
      <c r="A213" s="34" t="inlineStr">
        <is>
          <t>AMAZON (vari - per casa?)</t>
        </is>
      </c>
      <c r="B213" s="35" t="n"/>
      <c r="C213" s="35" t="n"/>
      <c r="D213" s="35" t="n"/>
      <c r="E213" s="35" t="n"/>
      <c r="F213" s="36" t="n"/>
    </row>
    <row r="214" ht="14.25" customHeight="1" s="33">
      <c r="A214" s="5" t="inlineStr">
        <is>
          <t>Data</t>
        </is>
      </c>
      <c r="B214" s="5" t="inlineStr">
        <is>
          <t>Descrizione</t>
        </is>
      </c>
      <c r="C214" s="5" t="inlineStr">
        <is>
          <t>Importo</t>
        </is>
      </c>
      <c r="D214" s="5" t="inlineStr">
        <is>
          <t>Fonte</t>
        </is>
      </c>
      <c r="E214" s="5" t="inlineStr">
        <is>
          <t>Pagato</t>
        </is>
      </c>
      <c r="F214" s="5" t="inlineStr">
        <is>
          <t>Note</t>
        </is>
      </c>
    </row>
    <row r="215" ht="14.25" customHeight="1" s="33">
      <c r="A215" s="13" t="inlineStr">
        <is>
          <t>03/10/2025</t>
        </is>
      </c>
      <c r="B215" s="13" t="inlineStr">
        <is>
          <t>Amazon.it</t>
        </is>
      </c>
      <c r="C215" s="11" t="n">
        <v>36.99</v>
      </c>
      <c r="D215" s="13" t="inlineStr">
        <is>
          <t>Banca</t>
        </is>
      </c>
      <c r="E215" s="8" t="n"/>
      <c r="F215" s="13" t="n"/>
    </row>
    <row r="216" ht="14.25" customHeight="1" s="33">
      <c r="A216" s="13" t="inlineStr">
        <is>
          <t>24/10/2025</t>
        </is>
      </c>
      <c r="B216" s="13" t="inlineStr">
        <is>
          <t>AMZN Mktp</t>
        </is>
      </c>
      <c r="C216" s="11" t="n">
        <v>14.15</v>
      </c>
      <c r="D216" s="13" t="inlineStr">
        <is>
          <t>Banca</t>
        </is>
      </c>
      <c r="E216" s="8" t="n"/>
      <c r="F216" s="13" t="n"/>
    </row>
    <row r="217" ht="14.25" customHeight="1" s="33">
      <c r="A217" s="13" t="inlineStr">
        <is>
          <t>29/10/2025</t>
        </is>
      </c>
      <c r="B217" s="13" t="inlineStr">
        <is>
          <t>AMZN Mktp</t>
        </is>
      </c>
      <c r="C217" s="11" t="n">
        <v>5.49</v>
      </c>
      <c r="D217" s="13" t="inlineStr">
        <is>
          <t>Banca</t>
        </is>
      </c>
      <c r="E217" s="8" t="n"/>
      <c r="F217" s="13" t="n"/>
    </row>
    <row r="218" ht="14.25" customHeight="1" s="33">
      <c r="A218" s="13" t="inlineStr">
        <is>
          <t>12/11/2025</t>
        </is>
      </c>
      <c r="B218" s="13" t="inlineStr">
        <is>
          <t>AMZN Mktp</t>
        </is>
      </c>
      <c r="C218" s="11" t="n">
        <v>7.99</v>
      </c>
      <c r="D218" s="13" t="inlineStr">
        <is>
          <t>Banca</t>
        </is>
      </c>
      <c r="E218" s="8" t="n"/>
      <c r="F218" s="13" t="n"/>
    </row>
    <row r="219" ht="14.25" customHeight="1" s="33">
      <c r="A219" s="13" t="inlineStr">
        <is>
          <t>16/11/2025</t>
        </is>
      </c>
      <c r="B219" s="13" t="inlineStr">
        <is>
          <t>AMZN Mktp</t>
        </is>
      </c>
      <c r="C219" s="11" t="n">
        <v>15.25</v>
      </c>
      <c r="D219" s="13" t="inlineStr">
        <is>
          <t>Banca</t>
        </is>
      </c>
      <c r="E219" s="8" t="n"/>
      <c r="F219" s="13" t="n"/>
    </row>
    <row r="220" ht="14.25" customHeight="1" s="33">
      <c r="A220" s="13" t="inlineStr">
        <is>
          <t>21/11/2025</t>
        </is>
      </c>
      <c r="B220" s="13" t="inlineStr">
        <is>
          <t>Amazon.it</t>
        </is>
      </c>
      <c r="C220" s="11" t="n">
        <v>49.99</v>
      </c>
      <c r="D220" s="13" t="inlineStr">
        <is>
          <t>Banca</t>
        </is>
      </c>
      <c r="E220" s="8" t="n"/>
      <c r="F220" s="13" t="n"/>
    </row>
    <row r="221" ht="14.25" customHeight="1" s="33">
      <c r="A221" s="13" t="inlineStr">
        <is>
          <t>22/11/2025</t>
        </is>
      </c>
      <c r="B221" s="13" t="inlineStr">
        <is>
          <t>Amazon.it</t>
        </is>
      </c>
      <c r="C221" s="11" t="n">
        <v>39.99</v>
      </c>
      <c r="D221" s="13" t="inlineStr">
        <is>
          <t>Banca</t>
        </is>
      </c>
      <c r="E221" s="8" t="n"/>
      <c r="F221" s="13" t="n"/>
    </row>
    <row r="222" ht="14.25" customHeight="1" s="33">
      <c r="A222" s="13" t="inlineStr">
        <is>
          <t>04/12/2025</t>
        </is>
      </c>
      <c r="B222" s="13" t="inlineStr">
        <is>
          <t>Amazon.it</t>
        </is>
      </c>
      <c r="C222" s="11" t="n">
        <v>36.9</v>
      </c>
      <c r="D222" s="13" t="inlineStr">
        <is>
          <t>Banca</t>
        </is>
      </c>
      <c r="E222" s="8" t="n"/>
      <c r="F222" s="13" t="n"/>
    </row>
    <row r="223" ht="14.25" customHeight="1" s="33">
      <c r="A223" s="13" t="inlineStr">
        <is>
          <t>05/12/2025</t>
        </is>
      </c>
      <c r="B223" s="13" t="inlineStr">
        <is>
          <t>AMZN Mktp</t>
        </is>
      </c>
      <c r="C223" s="11" t="n">
        <v>29.99</v>
      </c>
      <c r="D223" s="13" t="inlineStr">
        <is>
          <t>Banca</t>
        </is>
      </c>
      <c r="E223" s="8" t="n"/>
      <c r="F223" s="13" t="n"/>
    </row>
    <row r="224" ht="14.25" customHeight="1" s="33">
      <c r="A224" s="13" t="inlineStr">
        <is>
          <t>11/12/2025</t>
        </is>
      </c>
      <c r="B224" s="13" t="inlineStr">
        <is>
          <t>AMZN Mktp</t>
        </is>
      </c>
      <c r="C224" s="11" t="n">
        <v>36.88</v>
      </c>
      <c r="D224" s="13" t="inlineStr">
        <is>
          <t>Banca</t>
        </is>
      </c>
      <c r="E224" s="8" t="n"/>
      <c r="F224" s="13" t="n"/>
    </row>
    <row r="225" ht="14.25" customHeight="1" s="33">
      <c r="A225" s="13" t="inlineStr">
        <is>
          <t>11/12/2025</t>
        </is>
      </c>
      <c r="B225" s="13" t="inlineStr">
        <is>
          <t>Amazon.it</t>
        </is>
      </c>
      <c r="C225" s="11" t="n">
        <v>20.94</v>
      </c>
      <c r="D225" s="13" t="inlineStr">
        <is>
          <t>Banca</t>
        </is>
      </c>
      <c r="E225" s="8" t="n"/>
      <c r="F225" s="13" t="n"/>
    </row>
    <row r="226" ht="14.25" customHeight="1" s="33">
      <c r="A226" s="13" t="inlineStr">
        <is>
          <t>15/12/2025</t>
        </is>
      </c>
      <c r="B226" s="13" t="inlineStr">
        <is>
          <t>AMZN Mktp</t>
        </is>
      </c>
      <c r="C226" s="11" t="n">
        <v>23.63</v>
      </c>
      <c r="D226" s="13" t="inlineStr">
        <is>
          <t>Banca</t>
        </is>
      </c>
      <c r="E226" s="8" t="n"/>
      <c r="F226" s="13" t="n"/>
    </row>
    <row r="227" ht="14.25" customHeight="1" s="33">
      <c r="A227" s="13" t="inlineStr">
        <is>
          <t>15/12/2025</t>
        </is>
      </c>
      <c r="B227" s="13" t="inlineStr">
        <is>
          <t>Amazon.it</t>
        </is>
      </c>
      <c r="C227" s="11" t="n">
        <v>11.65</v>
      </c>
      <c r="D227" s="13" t="inlineStr">
        <is>
          <t>Banca</t>
        </is>
      </c>
      <c r="E227" s="8" t="n"/>
      <c r="F227" s="13" t="n"/>
    </row>
    <row r="228" ht="14.25" customHeight="1" s="33">
      <c r="A228" s="13" t="inlineStr">
        <is>
          <t>23/12/2025</t>
        </is>
      </c>
      <c r="B228" s="13" t="inlineStr">
        <is>
          <t>AMAZON</t>
        </is>
      </c>
      <c r="C228" s="11" t="n">
        <v>2.79</v>
      </c>
      <c r="D228" s="13" t="inlineStr">
        <is>
          <t>Banca</t>
        </is>
      </c>
      <c r="E228" s="8" t="n"/>
      <c r="F228" s="13" t="n"/>
    </row>
    <row r="229" ht="14.25" customHeight="1" s="33">
      <c r="A229" s="13" t="inlineStr">
        <is>
          <t>19/01/2026</t>
        </is>
      </c>
      <c r="B229" s="13" t="inlineStr">
        <is>
          <t>Amazon.it</t>
        </is>
      </c>
      <c r="C229" s="11" t="n">
        <v>22.51</v>
      </c>
      <c r="D229" s="13" t="inlineStr">
        <is>
          <t>Banca</t>
        </is>
      </c>
      <c r="E229" s="8" t="n"/>
      <c r="F229" s="13" t="n"/>
    </row>
    <row r="230" ht="14.25" customHeight="1" s="33">
      <c r="A230" s="13" t="inlineStr">
        <is>
          <t>28/01/2026</t>
        </is>
      </c>
      <c r="B230" s="13" t="inlineStr">
        <is>
          <t>AMZN Mktp</t>
        </is>
      </c>
      <c r="C230" s="11" t="n">
        <v>10.52</v>
      </c>
      <c r="D230" s="13" t="inlineStr">
        <is>
          <t>Banca</t>
        </is>
      </c>
      <c r="E230" s="8" t="n"/>
      <c r="F230" s="13" t="n"/>
    </row>
    <row r="231" ht="14.25" customHeight="1" s="33">
      <c r="A231" s="13" t="inlineStr">
        <is>
          <t>01/02/2026</t>
        </is>
      </c>
      <c r="B231" s="13" t="inlineStr">
        <is>
          <t>AMZN Mktp</t>
        </is>
      </c>
      <c r="C231" s="11" t="n">
        <v>38.99</v>
      </c>
      <c r="D231" s="13" t="inlineStr">
        <is>
          <t>Banca</t>
        </is>
      </c>
      <c r="E231" s="8" t="n"/>
      <c r="F231" s="13" t="n"/>
    </row>
    <row r="232" ht="14.25" customHeight="1" s="33">
      <c r="A232" s="13" t="inlineStr">
        <is>
          <t>03/02/2026</t>
        </is>
      </c>
      <c r="B232" s="13" t="inlineStr">
        <is>
          <t>Amazon.it</t>
        </is>
      </c>
      <c r="C232" s="11" t="n">
        <v>14.21</v>
      </c>
      <c r="D232" s="13" t="inlineStr">
        <is>
          <t>Banca</t>
        </is>
      </c>
      <c r="E232" s="8" t="n"/>
      <c r="F232" s="13" t="n"/>
    </row>
    <row r="233" ht="14.25" customHeight="1" s="33">
      <c r="A233" s="13" t="inlineStr">
        <is>
          <t>04/02/2026</t>
        </is>
      </c>
      <c r="B233" s="13" t="inlineStr">
        <is>
          <t>AMZN Mktp</t>
        </is>
      </c>
      <c r="C233" s="11" t="n">
        <v>21.01</v>
      </c>
      <c r="D233" s="13" t="inlineStr">
        <is>
          <t>Banca</t>
        </is>
      </c>
      <c r="E233" s="8" t="n"/>
      <c r="F233" s="13" t="n"/>
    </row>
    <row r="234" ht="14.25" customHeight="1" s="33">
      <c r="A234" s="13" t="inlineStr">
        <is>
          <t>10/02/2026</t>
        </is>
      </c>
      <c r="B234" s="13" t="inlineStr">
        <is>
          <t>Amazon.it</t>
        </is>
      </c>
      <c r="C234" s="11" t="n">
        <v>19.95</v>
      </c>
      <c r="D234" s="13" t="inlineStr">
        <is>
          <t>Banca</t>
        </is>
      </c>
      <c r="E234" s="8" t="n"/>
      <c r="F234" s="13" t="n"/>
    </row>
    <row r="235" ht="14.25" customHeight="1" s="33">
      <c r="A235" s="13" t="inlineStr">
        <is>
          <t>10/02/2026</t>
        </is>
      </c>
      <c r="B235" s="13" t="inlineStr">
        <is>
          <t>AMZN Mktp</t>
        </is>
      </c>
      <c r="C235" s="11" t="n">
        <v>30.49</v>
      </c>
      <c r="D235" s="13" t="inlineStr">
        <is>
          <t>Banca</t>
        </is>
      </c>
      <c r="E235" s="8" t="n"/>
      <c r="F235" s="13" t="n"/>
    </row>
    <row r="236" ht="14.25" customHeight="1" s="33">
      <c r="A236" s="13" t="inlineStr">
        <is>
          <t>13/02/2026</t>
        </is>
      </c>
      <c r="B236" s="13" t="inlineStr">
        <is>
          <t>AMZN Mktp</t>
        </is>
      </c>
      <c r="C236" s="11" t="n">
        <v>21.38</v>
      </c>
      <c r="D236" s="13" t="inlineStr">
        <is>
          <t>Banca</t>
        </is>
      </c>
      <c r="E236" s="8" t="n"/>
      <c r="F236" s="13" t="n"/>
    </row>
    <row r="237" ht="14.25" customHeight="1" s="33">
      <c r="A237" s="13" t="inlineStr">
        <is>
          <t>13/02/2026</t>
        </is>
      </c>
      <c r="B237" s="13" t="inlineStr">
        <is>
          <t>AMZN Mktp</t>
        </is>
      </c>
      <c r="C237" s="11" t="n">
        <v>6.69</v>
      </c>
      <c r="D237" s="13" t="inlineStr">
        <is>
          <t>Banca</t>
        </is>
      </c>
      <c r="E237" s="8" t="n"/>
      <c r="F237" s="13" t="n"/>
    </row>
    <row r="238" ht="14.25" customHeight="1" s="33">
      <c r="A238" s="13" t="inlineStr">
        <is>
          <t>13/02/2026</t>
        </is>
      </c>
      <c r="B238" s="13" t="inlineStr">
        <is>
          <t>AMZN Mktp</t>
        </is>
      </c>
      <c r="C238" s="11" t="n">
        <v>9.99</v>
      </c>
      <c r="D238" s="13" t="inlineStr">
        <is>
          <t>Banca</t>
        </is>
      </c>
      <c r="E238" s="8" t="n"/>
      <c r="F238" s="13" t="n"/>
    </row>
    <row r="239" ht="14.25" customHeight="1" s="33">
      <c r="A239" s="13" t="inlineStr">
        <is>
          <t>19/02/2026</t>
        </is>
      </c>
      <c r="B239" s="13" t="inlineStr">
        <is>
          <t>AMZN Mktp</t>
        </is>
      </c>
      <c r="C239" s="11" t="n">
        <v>22.49</v>
      </c>
      <c r="D239" s="13" t="inlineStr">
        <is>
          <t>Banca</t>
        </is>
      </c>
      <c r="E239" s="8" t="n"/>
      <c r="F239" s="13" t="n"/>
    </row>
    <row r="240" ht="14.25" customHeight="1" s="33">
      <c r="A240" s="13" t="inlineStr">
        <is>
          <t>20/02/2026</t>
        </is>
      </c>
      <c r="B240" s="13" t="inlineStr">
        <is>
          <t>Amazon.it</t>
        </is>
      </c>
      <c r="C240" s="11" t="n">
        <v>8.58</v>
      </c>
      <c r="D240" s="13" t="inlineStr">
        <is>
          <t>Banca</t>
        </is>
      </c>
      <c r="E240" s="8" t="n"/>
      <c r="F240" s="13" t="n"/>
    </row>
    <row r="241" ht="14.25" customHeight="1" s="33">
      <c r="A241" s="13" t="inlineStr">
        <is>
          <t>02/03/2026</t>
        </is>
      </c>
      <c r="B241" s="13" t="inlineStr">
        <is>
          <t>AMZN Mktp</t>
        </is>
      </c>
      <c r="C241" s="11" t="n">
        <v>39.75</v>
      </c>
      <c r="D241" s="13" t="inlineStr">
        <is>
          <t>Banca</t>
        </is>
      </c>
      <c r="E241" s="8" t="n"/>
      <c r="F241" s="13" t="n"/>
    </row>
    <row r="242" ht="14.25" customHeight="1" s="33">
      <c r="A242" s="13" t="inlineStr">
        <is>
          <t>02/03/2026</t>
        </is>
      </c>
      <c r="B242" s="13" t="inlineStr">
        <is>
          <t>AMZN Mktp</t>
        </is>
      </c>
      <c r="C242" s="11" t="n">
        <v>29.8</v>
      </c>
      <c r="D242" s="13" t="inlineStr">
        <is>
          <t>Banca</t>
        </is>
      </c>
      <c r="E242" s="8" t="n"/>
      <c r="F242" s="13" t="n"/>
    </row>
    <row r="243" ht="14.25" customHeight="1" s="33">
      <c r="A243" s="13" t="inlineStr">
        <is>
          <t>03/03/2026</t>
        </is>
      </c>
      <c r="B243" s="13" t="inlineStr">
        <is>
          <t>Rimborso AMZN</t>
        </is>
      </c>
      <c r="C243" s="11" t="n">
        <v>-29.8</v>
      </c>
      <c r="D243" s="13" t="inlineStr">
        <is>
          <t>Banca</t>
        </is>
      </c>
      <c r="E243" s="8" t="n"/>
      <c r="F243" s="13" t="n"/>
    </row>
    <row r="244" ht="14.25" customHeight="1" s="33">
      <c r="A244" s="13" t="inlineStr">
        <is>
          <t>23/03/2026</t>
        </is>
      </c>
      <c r="B244" s="13" t="inlineStr">
        <is>
          <t>AMAZON</t>
        </is>
      </c>
      <c r="C244" s="11" t="n">
        <v>12.74</v>
      </c>
      <c r="D244" s="13" t="inlineStr">
        <is>
          <t>Banca</t>
        </is>
      </c>
      <c r="E244" s="8" t="n"/>
      <c r="F244" s="13" t="n"/>
    </row>
    <row r="245" ht="14.25" customHeight="1" s="33">
      <c r="A245" s="13" t="inlineStr">
        <is>
          <t>23/03/2026</t>
        </is>
      </c>
      <c r="B245" s="13" t="inlineStr">
        <is>
          <t>AMZN Mktp</t>
        </is>
      </c>
      <c r="C245" s="11" t="n">
        <v>8.949999999999999</v>
      </c>
      <c r="D245" s="13" t="inlineStr">
        <is>
          <t>Banca</t>
        </is>
      </c>
      <c r="E245" s="8" t="n"/>
      <c r="F245" s="13" t="n"/>
    </row>
    <row r="246" ht="14.25" customHeight="1" s="33">
      <c r="A246" s="13" t="inlineStr">
        <is>
          <t>24/03/2026</t>
        </is>
      </c>
      <c r="B246" s="13" t="inlineStr">
        <is>
          <t>Amazon.it</t>
        </is>
      </c>
      <c r="C246" s="11" t="n">
        <v>17.95</v>
      </c>
      <c r="D246" s="13" t="inlineStr">
        <is>
          <t>Banca</t>
        </is>
      </c>
      <c r="E246" s="8" t="n"/>
      <c r="F246" s="13" t="n"/>
    </row>
    <row r="247" ht="14.25" customHeight="1" s="33">
      <c r="A247" s="13" t="inlineStr">
        <is>
          <t>24/03/2026</t>
        </is>
      </c>
      <c r="B247" s="13" t="inlineStr">
        <is>
          <t>Amazon.it</t>
        </is>
      </c>
      <c r="C247" s="11" t="n">
        <v>18.9</v>
      </c>
      <c r="D247" s="13" t="inlineStr">
        <is>
          <t>Banca</t>
        </is>
      </c>
      <c r="E247" s="8" t="n"/>
      <c r="F247" s="13" t="n"/>
    </row>
    <row r="248" ht="14.25" customHeight="1" s="33">
      <c r="A248" s="13" t="inlineStr">
        <is>
          <t>24/03/2026</t>
        </is>
      </c>
      <c r="B248" s="13" t="inlineStr">
        <is>
          <t>AMZN Mktp</t>
        </is>
      </c>
      <c r="C248" s="11" t="n">
        <v>9.16</v>
      </c>
      <c r="D248" s="13" t="inlineStr">
        <is>
          <t>Banca</t>
        </is>
      </c>
      <c r="E248" s="8" t="n"/>
      <c r="F248" s="13" t="n"/>
    </row>
    <row r="249" ht="14.25" customHeight="1" s="33">
      <c r="A249" s="13" t="inlineStr">
        <is>
          <t>28/03/2026</t>
        </is>
      </c>
      <c r="B249" s="13" t="inlineStr">
        <is>
          <t>AMZN Mktp</t>
        </is>
      </c>
      <c r="C249" s="11" t="n">
        <v>20.49</v>
      </c>
      <c r="D249" s="13" t="inlineStr">
        <is>
          <t>Banca</t>
        </is>
      </c>
      <c r="E249" s="8" t="n"/>
      <c r="F249" s="13" t="n"/>
    </row>
    <row r="250" ht="14.25" customHeight="1" s="33">
      <c r="A250" s="13" t="inlineStr">
        <is>
          <t>29/03/2026</t>
        </is>
      </c>
      <c r="B250" s="13" t="inlineStr">
        <is>
          <t>AMZN Mktp</t>
        </is>
      </c>
      <c r="C250" s="11" t="n">
        <v>61.74</v>
      </c>
      <c r="D250" s="13" t="inlineStr">
        <is>
          <t>Banca</t>
        </is>
      </c>
      <c r="E250" s="8" t="n"/>
      <c r="F250" s="13" t="n"/>
    </row>
    <row r="251" ht="14.25" customHeight="1" s="33">
      <c r="A251" s="13" t="inlineStr">
        <is>
          <t>29/03/2026</t>
        </is>
      </c>
      <c r="B251" s="13" t="inlineStr">
        <is>
          <t>WWW.AMAZON.IT</t>
        </is>
      </c>
      <c r="C251" s="11" t="n">
        <v>17.06</v>
      </c>
      <c r="D251" s="13" t="inlineStr">
        <is>
          <t>Banca</t>
        </is>
      </c>
      <c r="E251" s="8" t="n"/>
      <c r="F251" s="13" t="n"/>
    </row>
    <row r="252" ht="14.25" customHeight="1" s="33">
      <c r="A252" s="13" t="inlineStr">
        <is>
          <t>22/01/2026</t>
        </is>
      </c>
      <c r="B252" s="13" t="inlineStr">
        <is>
          <t>Amazon Prime annuale</t>
        </is>
      </c>
      <c r="C252" s="11" t="n">
        <v>49.9</v>
      </c>
      <c r="D252" s="13" t="inlineStr">
        <is>
          <t>Banca</t>
        </is>
      </c>
      <c r="E252" s="8" t="n"/>
      <c r="F252" s="13" t="n"/>
    </row>
    <row r="253" ht="14.25" customHeight="1" s="33">
      <c r="A253" s="13" t="inlineStr">
        <is>
          <t>02/02/2026</t>
        </is>
      </c>
      <c r="B253" s="13" t="inlineStr">
        <is>
          <t>WWW.AMAZON.IT</t>
        </is>
      </c>
      <c r="C253" s="11" t="n">
        <v>10.5</v>
      </c>
      <c r="D253" s="13" t="inlineStr">
        <is>
          <t>Banca</t>
        </is>
      </c>
      <c r="E253" s="8" t="n"/>
      <c r="F253" s="13" t="n"/>
    </row>
    <row r="254" ht="14.25" customHeight="1" s="33">
      <c r="A254" s="13" t="inlineStr">
        <is>
          <t>02/04/2026</t>
        </is>
      </c>
      <c r="B254" s="13" t="inlineStr">
        <is>
          <t>Amazon.it</t>
        </is>
      </c>
      <c r="C254" s="11" t="n">
        <v>18.2</v>
      </c>
      <c r="D254" s="13" t="inlineStr">
        <is>
          <t>Screenshot</t>
        </is>
      </c>
      <c r="E254" s="8" t="n"/>
      <c r="F254" s="13" t="n"/>
    </row>
    <row r="255" ht="14.25" customHeight="1" s="33">
      <c r="A255" s="9" t="inlineStr">
        <is>
          <t>TOTALE</t>
        </is>
      </c>
      <c r="B255" s="9" t="n"/>
      <c r="C255" s="10">
        <f>SUM(C215:C254)</f>
        <v/>
      </c>
      <c r="D255" s="9" t="n"/>
      <c r="E255" s="9" t="n"/>
      <c r="F255" s="9" t="n"/>
    </row>
    <row r="256" ht="14.25" customHeight="1" s="33"/>
    <row r="257" ht="14.25" customHeight="1" s="33">
      <c r="A257" s="34" t="inlineStr">
        <is>
          <t>SPETTACOLI / CINEMA</t>
        </is>
      </c>
      <c r="B257" s="35" t="n"/>
      <c r="C257" s="35" t="n"/>
      <c r="D257" s="35" t="n"/>
      <c r="E257" s="35" t="n"/>
      <c r="F257" s="36" t="n"/>
    </row>
    <row r="258" ht="14.25" customHeight="1" s="33">
      <c r="A258" s="5" t="inlineStr">
        <is>
          <t>Data</t>
        </is>
      </c>
      <c r="B258" s="5" t="inlineStr">
        <is>
          <t>Descrizione</t>
        </is>
      </c>
      <c r="C258" s="5" t="inlineStr">
        <is>
          <t>Importo</t>
        </is>
      </c>
      <c r="D258" s="5" t="inlineStr">
        <is>
          <t>Fonte</t>
        </is>
      </c>
      <c r="E258" s="5" t="inlineStr">
        <is>
          <t>Pagato</t>
        </is>
      </c>
      <c r="F258" s="5" t="inlineStr">
        <is>
          <t>Note</t>
        </is>
      </c>
    </row>
    <row r="259" ht="14.25" customHeight="1" s="33">
      <c r="A259" s="13" t="inlineStr">
        <is>
          <t>22/12/2025</t>
        </is>
      </c>
      <c r="B259" s="13" t="inlineStr">
        <is>
          <t>Politeama Clarici cinema</t>
        </is>
      </c>
      <c r="C259" s="11" t="n">
        <v>16</v>
      </c>
      <c r="D259" s="13" t="inlineStr">
        <is>
          <t>Banca</t>
        </is>
      </c>
      <c r="E259" s="8" t="n"/>
      <c r="F259" s="13" t="n"/>
    </row>
    <row r="260" ht="14.25" customHeight="1" s="33">
      <c r="A260" s="9" t="inlineStr">
        <is>
          <t>TOTALE</t>
        </is>
      </c>
      <c r="B260" s="9" t="n"/>
      <c r="C260" s="10">
        <f>SUM(C259)</f>
        <v/>
      </c>
      <c r="D260" s="9" t="n"/>
      <c r="E260" s="9" t="n"/>
      <c r="F260" s="9" t="n"/>
    </row>
    <row r="261" ht="14.25" customHeight="1" s="33"/>
    <row r="262" ht="14.25" customHeight="1" s="33">
      <c r="A262" s="34" t="inlineStr">
        <is>
          <t>TECNOLOGIA / ELETTRONICA (condivisa)</t>
        </is>
      </c>
      <c r="B262" s="35" t="n"/>
      <c r="C262" s="35" t="n"/>
      <c r="D262" s="35" t="n"/>
      <c r="E262" s="35" t="n"/>
      <c r="F262" s="36" t="n"/>
    </row>
    <row r="263" ht="14.25" customHeight="1" s="33">
      <c r="A263" s="5" t="inlineStr">
        <is>
          <t>Data</t>
        </is>
      </c>
      <c r="B263" s="5" t="inlineStr">
        <is>
          <t>Descrizione</t>
        </is>
      </c>
      <c r="C263" s="5" t="inlineStr">
        <is>
          <t>Importo</t>
        </is>
      </c>
      <c r="D263" s="5" t="inlineStr">
        <is>
          <t>Fonte</t>
        </is>
      </c>
      <c r="E263" s="5" t="inlineStr">
        <is>
          <t>Pagato</t>
        </is>
      </c>
      <c r="F263" s="5" t="inlineStr">
        <is>
          <t>Note</t>
        </is>
      </c>
    </row>
    <row r="264" ht="14.25" customHeight="1" s="33">
      <c r="A264" s="13" t="inlineStr">
        <is>
          <t>08/10/2025</t>
        </is>
      </c>
      <c r="B264" s="13" t="inlineStr">
        <is>
          <t>Unieuro.it</t>
        </is>
      </c>
      <c r="C264" s="11" t="n">
        <v>483.29</v>
      </c>
      <c r="D264" s="13" t="inlineStr">
        <is>
          <t>Banca</t>
        </is>
      </c>
      <c r="E264" s="8" t="n"/>
      <c r="F264" s="13" t="n"/>
    </row>
    <row r="265" ht="14.25" customHeight="1" s="33">
      <c r="A265" s="13" t="inlineStr">
        <is>
          <t>29/10/2025</t>
        </is>
      </c>
      <c r="B265" s="13" t="inlineStr">
        <is>
          <t>Unieuro.it</t>
        </is>
      </c>
      <c r="C265" s="11" t="n">
        <v>100.45</v>
      </c>
      <c r="D265" s="13" t="inlineStr">
        <is>
          <t>Banca</t>
        </is>
      </c>
      <c r="E265" s="8" t="n"/>
      <c r="F265" s="13" t="n"/>
    </row>
    <row r="266" ht="14.25" customHeight="1" s="33">
      <c r="A266" s="13" t="inlineStr">
        <is>
          <t>13/11/2025</t>
        </is>
      </c>
      <c r="B266" s="13" t="inlineStr">
        <is>
          <t>Rimborso Unieuro</t>
        </is>
      </c>
      <c r="C266" s="11" t="n">
        <v>-50.22</v>
      </c>
      <c r="D266" s="13" t="inlineStr">
        <is>
          <t>Banca</t>
        </is>
      </c>
      <c r="E266" s="8" t="n"/>
      <c r="F266" s="13" t="n"/>
    </row>
    <row r="267" ht="14.25" customHeight="1" s="33">
      <c r="A267" s="13" t="inlineStr">
        <is>
          <t>13/11/2025</t>
        </is>
      </c>
      <c r="B267" s="13" t="inlineStr">
        <is>
          <t>Rimborso Unieuro</t>
        </is>
      </c>
      <c r="C267" s="11" t="n">
        <v>-50.23</v>
      </c>
      <c r="D267" s="13" t="inlineStr">
        <is>
          <t>Banca</t>
        </is>
      </c>
      <c r="E267" s="8" t="n"/>
      <c r="F267" s="13" t="n"/>
    </row>
    <row r="268" ht="14.25" customHeight="1" s="33">
      <c r="A268" s="9" t="inlineStr">
        <is>
          <t>TOTALE</t>
        </is>
      </c>
      <c r="B268" s="9" t="n"/>
      <c r="C268" s="10">
        <f>SUM(C264:C267)</f>
        <v/>
      </c>
      <c r="D268" s="9" t="n"/>
      <c r="E268" s="9" t="n"/>
      <c r="F268" s="9" t="n"/>
    </row>
    <row r="269" ht="14.25" customHeight="1" s="33"/>
    <row r="270" ht="14.25" customHeight="1" s="33">
      <c r="A270" s="34" t="inlineStr">
        <is>
          <t>ANIMALI / MICIA (condivisa)</t>
        </is>
      </c>
      <c r="B270" s="35" t="n"/>
      <c r="C270" s="35" t="n"/>
      <c r="D270" s="35" t="n"/>
      <c r="E270" s="35" t="n"/>
      <c r="F270" s="36" t="n"/>
    </row>
    <row r="271" ht="14.25" customHeight="1" s="33">
      <c r="A271" s="5" t="inlineStr">
        <is>
          <t>Data</t>
        </is>
      </c>
      <c r="B271" s="5" t="inlineStr">
        <is>
          <t>Descrizione</t>
        </is>
      </c>
      <c r="C271" s="5" t="inlineStr">
        <is>
          <t>Importo</t>
        </is>
      </c>
      <c r="D271" s="5" t="inlineStr">
        <is>
          <t>Fonte</t>
        </is>
      </c>
      <c r="E271" s="5" t="inlineStr">
        <is>
          <t>Pagato</t>
        </is>
      </c>
      <c r="F271" s="5" t="inlineStr">
        <is>
          <t>Note</t>
        </is>
      </c>
    </row>
    <row r="272" ht="14.25" customHeight="1" s="33">
      <c r="A272" s="13" t="inlineStr">
        <is>
          <t>07/11/2025</t>
        </is>
      </c>
      <c r="B272" s="13" t="inlineStr">
        <is>
          <t>Arcaplanet (PayPal)</t>
        </is>
      </c>
      <c r="C272" s="11" t="n">
        <v>242.73</v>
      </c>
      <c r="D272" s="13" t="inlineStr">
        <is>
          <t>PayPal</t>
        </is>
      </c>
      <c r="E272" s="8" t="n"/>
      <c r="F272" s="13" t="n"/>
    </row>
    <row r="273" ht="14.25" customHeight="1" s="33">
      <c r="A273" s="13" t="inlineStr">
        <is>
          <t>02/12/2025</t>
        </is>
      </c>
      <c r="B273" s="13" t="inlineStr">
        <is>
          <t>Arcaplanet Trevi</t>
        </is>
      </c>
      <c r="C273" s="11" t="n">
        <v>13.75</v>
      </c>
      <c r="D273" s="13" t="inlineStr">
        <is>
          <t>Banca</t>
        </is>
      </c>
      <c r="E273" s="8" t="n"/>
      <c r="F273" s="13" t="n"/>
    </row>
    <row r="274" ht="14.25" customHeight="1" s="33">
      <c r="A274" s="9" t="inlineStr">
        <is>
          <t>TOTALE</t>
        </is>
      </c>
      <c r="B274" s="9" t="n"/>
      <c r="C274" s="10">
        <f>SUM(C272:C273)</f>
        <v/>
      </c>
      <c r="D274" s="9" t="n"/>
      <c r="E274" s="9" t="n"/>
      <c r="F274" s="9" t="n"/>
    </row>
    <row r="275" ht="14.25" customHeight="1" s="33"/>
    <row r="276" ht="14.25" customHeight="1" s="33">
      <c r="A276" s="34" t="inlineStr">
        <is>
          <t>ACQUISTI VARI (condivisi)</t>
        </is>
      </c>
      <c r="B276" s="35" t="n"/>
      <c r="C276" s="35" t="n"/>
      <c r="D276" s="35" t="n"/>
      <c r="E276" s="35" t="n"/>
      <c r="F276" s="36" t="n"/>
    </row>
    <row r="277" ht="14.25" customHeight="1" s="33">
      <c r="A277" s="5" t="inlineStr">
        <is>
          <t>Data</t>
        </is>
      </c>
      <c r="B277" s="5" t="inlineStr">
        <is>
          <t>Descrizione</t>
        </is>
      </c>
      <c r="C277" s="5" t="inlineStr">
        <is>
          <t>Importo</t>
        </is>
      </c>
      <c r="D277" s="5" t="inlineStr">
        <is>
          <t>Fonte</t>
        </is>
      </c>
      <c r="E277" s="5" t="inlineStr">
        <is>
          <t>Pagato</t>
        </is>
      </c>
      <c r="F277" s="5" t="inlineStr">
        <is>
          <t>Note</t>
        </is>
      </c>
    </row>
    <row r="278" ht="14.25" customHeight="1" s="33">
      <c r="A278" s="13" t="inlineStr">
        <is>
          <t>03/12/2025</t>
        </is>
      </c>
      <c r="B278" s="13" t="inlineStr">
        <is>
          <t>Temu.com</t>
        </is>
      </c>
      <c r="C278" s="11" t="n">
        <v>23.56</v>
      </c>
      <c r="D278" s="13" t="inlineStr">
        <is>
          <t>Banca</t>
        </is>
      </c>
      <c r="E278" s="8" t="n"/>
      <c r="F278" s="13" t="n"/>
    </row>
    <row r="279" ht="14.25" customHeight="1" s="33">
      <c r="A279" s="13" t="inlineStr">
        <is>
          <t>24/11/2025</t>
        </is>
      </c>
      <c r="B279" s="13" t="inlineStr">
        <is>
          <t>Il Giardino di Hermes Roma (profumeria)</t>
        </is>
      </c>
      <c r="C279" s="11" t="n">
        <v>127.12</v>
      </c>
      <c r="D279" s="13" t="inlineStr">
        <is>
          <t>Banca</t>
        </is>
      </c>
      <c r="E279" s="8" t="n"/>
      <c r="F279" s="13" t="n"/>
    </row>
    <row r="280" ht="14.25" customHeight="1" s="33">
      <c r="A280" s="13" t="inlineStr">
        <is>
          <t>31/10/2025</t>
        </is>
      </c>
      <c r="B280" s="13" t="inlineStr">
        <is>
          <t>La Feltrinelli libri (PayPal)</t>
        </is>
      </c>
      <c r="C280" s="11" t="n">
        <v>43.65</v>
      </c>
      <c r="D280" s="13" t="inlineStr">
        <is>
          <t>PayPal</t>
        </is>
      </c>
      <c r="E280" s="8" t="n"/>
      <c r="F280" s="13" t="n"/>
    </row>
    <row r="281" ht="14.25" customHeight="1" s="33">
      <c r="A281" s="13" t="inlineStr">
        <is>
          <t>09/12/2025</t>
        </is>
      </c>
      <c r="B281" s="13" t="inlineStr">
        <is>
          <t>Amasian Wedding Studio (PayPal)</t>
        </is>
      </c>
      <c r="C281" s="11" t="n">
        <v>50.9</v>
      </c>
      <c r="D281" s="13" t="inlineStr">
        <is>
          <t>PayPal</t>
        </is>
      </c>
      <c r="E281" s="8" t="n"/>
      <c r="F281" s="13" t="n"/>
    </row>
    <row r="282" ht="14.25" customHeight="1" s="33">
      <c r="A282" s="13" t="inlineStr">
        <is>
          <t>10/12/2025</t>
        </is>
      </c>
      <c r="B282" s="13" t="inlineStr">
        <is>
          <t>Christian Faverio (PayPal)</t>
        </is>
      </c>
      <c r="C282" s="11" t="n">
        <v>66.98999999999999</v>
      </c>
      <c r="D282" s="13" t="inlineStr">
        <is>
          <t>PayPal</t>
        </is>
      </c>
      <c r="E282" s="8" t="n"/>
      <c r="F282" s="13" t="n"/>
    </row>
    <row r="283" ht="14.25" customHeight="1" s="33">
      <c r="A283" s="13" t="inlineStr">
        <is>
          <t>22/12/2025</t>
        </is>
      </c>
      <c r="B283" s="13" t="inlineStr">
        <is>
          <t>AliExpress (PayPal)</t>
        </is>
      </c>
      <c r="C283" s="11" t="n">
        <v>30.65</v>
      </c>
      <c r="D283" s="13" t="inlineStr">
        <is>
          <t>PayPal</t>
        </is>
      </c>
      <c r="E283" s="8" t="n"/>
      <c r="F283" s="13" t="n"/>
    </row>
    <row r="284" ht="14.25" customHeight="1" s="33">
      <c r="A284" s="13" t="inlineStr">
        <is>
          <t>01/04/2026</t>
        </is>
      </c>
      <c r="B284" s="13" t="inlineStr">
        <is>
          <t>LDR S.P.A. oliunid.it (PayPal)</t>
        </is>
      </c>
      <c r="C284" s="11" t="n">
        <v>454.93</v>
      </c>
      <c r="D284" s="13" t="inlineStr">
        <is>
          <t>PayPal</t>
        </is>
      </c>
      <c r="E284" s="8" t="n"/>
      <c r="F284" s="13" t="n"/>
    </row>
    <row r="285" ht="14.25" customHeight="1" s="33">
      <c r="A285" s="13" t="inlineStr">
        <is>
          <t>28/11/2025</t>
        </is>
      </c>
      <c r="B285" s="13" t="inlineStr">
        <is>
          <t>Decathlon Foligno</t>
        </is>
      </c>
      <c r="C285" s="11" t="n">
        <v>92.92</v>
      </c>
      <c r="D285" s="13" t="inlineStr">
        <is>
          <t>Banca</t>
        </is>
      </c>
      <c r="E285" s="8" t="n"/>
      <c r="F285" s="13" t="n"/>
    </row>
    <row r="286" ht="14.25" customHeight="1" s="33">
      <c r="A286" s="13" t="inlineStr">
        <is>
          <t>24/12/2025</t>
        </is>
      </c>
      <c r="B286" s="13" t="inlineStr">
        <is>
          <t>Decathlon Foligno</t>
        </is>
      </c>
      <c r="C286" s="11" t="n">
        <v>141.95</v>
      </c>
      <c r="D286" s="13" t="inlineStr">
        <is>
          <t>Banca</t>
        </is>
      </c>
      <c r="E286" s="8" t="n"/>
      <c r="F286" s="13" t="n"/>
    </row>
    <row r="287" ht="14.25" customHeight="1" s="33">
      <c r="A287" s="9" t="inlineStr">
        <is>
          <t>TOTALE</t>
        </is>
      </c>
      <c r="B287" s="9" t="n"/>
      <c r="C287" s="10">
        <f>SUM(C278:C286)</f>
        <v/>
      </c>
      <c r="D287" s="9" t="n"/>
      <c r="E287" s="9" t="n"/>
      <c r="F287" s="9" t="n"/>
    </row>
    <row r="288" ht="14.25" customHeight="1" s="33"/>
    <row r="289" ht="14.25" customHeight="1" s="33">
      <c r="A289" s="34" t="inlineStr">
        <is>
          <t>GOOGLE PLAY APPS</t>
        </is>
      </c>
      <c r="B289" s="35" t="n"/>
      <c r="C289" s="35" t="n"/>
      <c r="D289" s="35" t="n"/>
      <c r="E289" s="35" t="n"/>
      <c r="F289" s="36" t="n"/>
    </row>
    <row r="290" ht="14.25" customHeight="1" s="33">
      <c r="A290" s="5" t="inlineStr">
        <is>
          <t>Data</t>
        </is>
      </c>
      <c r="B290" s="5" t="inlineStr">
        <is>
          <t>Descrizione</t>
        </is>
      </c>
      <c r="C290" s="5" t="inlineStr">
        <is>
          <t>Importo</t>
        </is>
      </c>
      <c r="D290" s="5" t="inlineStr">
        <is>
          <t>Fonte</t>
        </is>
      </c>
      <c r="E290" s="5" t="inlineStr">
        <is>
          <t>Pagato</t>
        </is>
      </c>
      <c r="F290" s="5" t="inlineStr">
        <is>
          <t>Note</t>
        </is>
      </c>
    </row>
    <row r="291" ht="14.25" customHeight="1" s="33">
      <c r="A291" s="13" t="inlineStr">
        <is>
          <t>15/10/2025</t>
        </is>
      </c>
      <c r="B291" s="13" t="inlineStr">
        <is>
          <t>Google Play Apps</t>
        </is>
      </c>
      <c r="C291" s="11" t="n">
        <v>5.99</v>
      </c>
      <c r="D291" s="13" t="inlineStr">
        <is>
          <t>Banca</t>
        </is>
      </c>
      <c r="E291" s="8" t="n"/>
      <c r="F291" s="13" t="n"/>
    </row>
    <row r="292" ht="14.25" customHeight="1" s="33">
      <c r="A292" s="13" t="inlineStr">
        <is>
          <t>15/11/2025</t>
        </is>
      </c>
      <c r="B292" s="13" t="inlineStr">
        <is>
          <t>Google Play Apps</t>
        </is>
      </c>
      <c r="C292" s="11" t="n">
        <v>5.99</v>
      </c>
      <c r="D292" s="13" t="inlineStr">
        <is>
          <t>Banca</t>
        </is>
      </c>
      <c r="E292" s="8" t="n"/>
      <c r="F292" s="13" t="n"/>
    </row>
    <row r="293" ht="14.25" customHeight="1" s="33">
      <c r="A293" s="13" t="inlineStr">
        <is>
          <t>15/12/2025</t>
        </is>
      </c>
      <c r="B293" s="13" t="inlineStr">
        <is>
          <t>Google Play Apps</t>
        </is>
      </c>
      <c r="C293" s="11" t="n">
        <v>5.99</v>
      </c>
      <c r="D293" s="13" t="inlineStr">
        <is>
          <t>Banca</t>
        </is>
      </c>
      <c r="E293" s="8" t="n"/>
      <c r="F293" s="13" t="n"/>
    </row>
    <row r="294" ht="14.25" customHeight="1" s="33">
      <c r="A294" s="13" t="inlineStr">
        <is>
          <t>15/01/2026</t>
        </is>
      </c>
      <c r="B294" s="13" t="inlineStr">
        <is>
          <t>Google Play Apps</t>
        </is>
      </c>
      <c r="C294" s="11" t="n">
        <v>5.99</v>
      </c>
      <c r="D294" s="13" t="inlineStr">
        <is>
          <t>Banca</t>
        </is>
      </c>
      <c r="E294" s="8" t="n"/>
      <c r="F294" s="13" t="n"/>
    </row>
    <row r="295" ht="14.25" customHeight="1" s="33">
      <c r="A295" s="13" t="inlineStr">
        <is>
          <t>15/02/2026</t>
        </is>
      </c>
      <c r="B295" s="13" t="inlineStr">
        <is>
          <t>Google Play Apps</t>
        </is>
      </c>
      <c r="C295" s="11" t="n">
        <v>5.99</v>
      </c>
      <c r="D295" s="13" t="inlineStr">
        <is>
          <t>Banca</t>
        </is>
      </c>
      <c r="E295" s="8" t="n"/>
      <c r="F295" s="13" t="n"/>
    </row>
    <row r="296" ht="14.25" customHeight="1" s="33">
      <c r="A296" s="13" t="inlineStr">
        <is>
          <t>15/03/2026</t>
        </is>
      </c>
      <c r="B296" s="13" t="inlineStr">
        <is>
          <t>Google Play Apps</t>
        </is>
      </c>
      <c r="C296" s="11" t="n">
        <v>5.99</v>
      </c>
      <c r="D296" s="13" t="inlineStr">
        <is>
          <t>Banca</t>
        </is>
      </c>
      <c r="E296" s="8" t="n"/>
      <c r="F296" s="13" t="n"/>
    </row>
    <row r="297" ht="14.25" customHeight="1" s="33">
      <c r="A297" s="9" t="inlineStr">
        <is>
          <t>TOTALE</t>
        </is>
      </c>
      <c r="B297" s="9" t="n"/>
      <c r="C297" s="10">
        <f>SUM(C291:C296)</f>
        <v/>
      </c>
      <c r="D297" s="9" t="n"/>
      <c r="E297" s="9" t="n"/>
      <c r="F297" s="9" t="n"/>
    </row>
    <row r="298" ht="14.25" customHeight="1" s="33"/>
    <row r="299" ht="14.25" customHeight="1" s="33"/>
    <row r="300" ht="14.25" customHeight="1" s="33">
      <c r="A300" s="14" t="inlineStr">
        <is>
          <t>TOTALE SPESE CONDIVISE</t>
        </is>
      </c>
      <c r="C300" s="15">
        <f>C11+C22+C68+C91+C100+C105+C124+C141+C161+C174+C193+C198+C211+C255+C260+C268+C274+C287+C297</f>
        <v/>
      </c>
    </row>
    <row r="301" ht="14.25" customHeight="1" s="33">
      <c r="A301" s="16" t="inlineStr">
        <is>
          <t>Quota Alex (50%)</t>
        </is>
      </c>
      <c r="C301" s="17">
        <f>C300/2</f>
        <v/>
      </c>
    </row>
    <row r="302" ht="14.25" customHeight="1" s="33">
      <c r="A302" s="16" t="inlineStr">
        <is>
          <t>Quota Blake (50%)</t>
        </is>
      </c>
      <c r="C302" s="17">
        <f>C300/2</f>
        <v/>
      </c>
    </row>
    <row r="303" ht="14.25" customHeight="1" s="33"/>
    <row r="304" ht="14.25" customHeight="1" s="33">
      <c r="A304" s="18" t="inlineStr">
        <is>
          <t>NOTA: Alex ha pagato tutto. Blake deve a Alex la sua quota (50%).</t>
        </is>
      </c>
    </row>
    <row r="305" ht="14.25" customHeight="1" s="33">
      <c r="A305" s="18" t="inlineStr">
        <is>
          <t>Usa la colonna 'Pagato' per segnare le spese gia' rimborsate da Blake.</t>
        </is>
      </c>
    </row>
    <row r="306" ht="14.25" customHeight="1" s="33"/>
    <row r="307" ht="14.25" customHeight="1" s="33"/>
    <row r="308" ht="14.25" customHeight="1" s="33"/>
    <row r="309" ht="14.25" customHeight="1" s="33"/>
    <row r="310" ht="14.25" customHeight="1" s="33"/>
    <row r="311" ht="14.25" customHeight="1" s="33"/>
    <row r="312" ht="14.25" customHeight="1" s="33"/>
    <row r="313" ht="14.25" customHeight="1" s="33"/>
    <row r="314" ht="14.25" customHeight="1" s="33"/>
    <row r="315" ht="14.25" customHeight="1" s="33"/>
    <row r="316" ht="14.25" customHeight="1" s="33"/>
    <row r="317" ht="14.25" customHeight="1" s="33"/>
    <row r="318" ht="14.25" customHeight="1" s="33"/>
    <row r="319" ht="14.25" customHeight="1" s="33"/>
    <row r="320" ht="14.25" customHeight="1" s="33"/>
    <row r="321" ht="14.25" customHeight="1" s="33"/>
    <row r="322" ht="14.25" customHeight="1" s="33"/>
    <row r="323" ht="14.25" customHeight="1" s="33"/>
    <row r="324" ht="14.25" customHeight="1" s="33"/>
    <row r="325" ht="14.25" customHeight="1" s="33"/>
    <row r="326" ht="14.25" customHeight="1" s="33"/>
    <row r="327" ht="14.25" customHeight="1" s="33"/>
    <row r="328" ht="14.25" customHeight="1" s="33"/>
    <row r="329" ht="14.25" customHeight="1" s="33"/>
    <row r="330" ht="14.25" customHeight="1" s="33"/>
    <row r="331" ht="14.25" customHeight="1" s="33"/>
    <row r="332" ht="14.25" customHeight="1" s="33"/>
    <row r="333" ht="14.25" customHeight="1" s="33"/>
    <row r="334" ht="14.25" customHeight="1" s="33"/>
    <row r="335" ht="14.25" customHeight="1" s="33"/>
    <row r="336" ht="14.25" customHeight="1" s="33"/>
    <row r="337" ht="14.25" customHeight="1" s="33"/>
    <row r="338" ht="14.25" customHeight="1" s="33"/>
    <row r="339" ht="14.25" customHeight="1" s="33"/>
    <row r="340" ht="14.25" customHeight="1" s="33"/>
    <row r="341" ht="14.25" customHeight="1" s="33"/>
    <row r="342" ht="14.25" customHeight="1" s="33"/>
    <row r="343" ht="14.25" customHeight="1" s="33"/>
    <row r="344" ht="14.25" customHeight="1" s="33"/>
    <row r="345" ht="14.25" customHeight="1" s="33"/>
    <row r="346" ht="14.25" customHeight="1" s="33"/>
    <row r="347" ht="14.25" customHeight="1" s="33"/>
    <row r="348" ht="14.25" customHeight="1" s="33"/>
    <row r="349" ht="14.25" customHeight="1" s="33"/>
    <row r="350" ht="14.25" customHeight="1" s="33"/>
    <row r="351" ht="14.25" customHeight="1" s="33"/>
    <row r="352" ht="14.25" customHeight="1" s="33"/>
    <row r="353" ht="14.25" customHeight="1" s="33"/>
    <row r="354" ht="14.25" customHeight="1" s="33"/>
    <row r="355" ht="14.25" customHeight="1" s="33"/>
    <row r="356" ht="14.25" customHeight="1" s="33"/>
    <row r="357" ht="14.25" customHeight="1" s="33"/>
    <row r="358" ht="14.25" customHeight="1" s="33"/>
    <row r="359" ht="14.25" customHeight="1" s="33"/>
    <row r="360" ht="14.25" customHeight="1" s="33"/>
    <row r="361" ht="14.25" customHeight="1" s="33"/>
    <row r="362" ht="14.25" customHeight="1" s="33"/>
    <row r="363" ht="14.25" customHeight="1" s="33"/>
    <row r="364" ht="14.25" customHeight="1" s="33"/>
    <row r="365" ht="14.25" customHeight="1" s="33"/>
    <row r="366" ht="14.25" customHeight="1" s="33"/>
    <row r="367" ht="14.25" customHeight="1" s="33"/>
    <row r="368" ht="14.25" customHeight="1" s="33"/>
    <row r="369" ht="14.25" customHeight="1" s="33"/>
    <row r="370" ht="14.25" customHeight="1" s="33"/>
    <row r="371" ht="14.25" customHeight="1" s="33"/>
    <row r="372" ht="14.25" customHeight="1" s="33"/>
    <row r="373" ht="14.25" customHeight="1" s="33"/>
    <row r="374" ht="14.25" customHeight="1" s="33"/>
    <row r="375" ht="14.25" customHeight="1" s="33"/>
    <row r="376" ht="14.25" customHeight="1" s="33"/>
    <row r="377" ht="14.25" customHeight="1" s="33"/>
    <row r="378" ht="14.25" customHeight="1" s="33"/>
    <row r="379" ht="14.25" customHeight="1" s="33"/>
    <row r="380" ht="14.25" customHeight="1" s="33"/>
    <row r="381" ht="14.25" customHeight="1" s="33"/>
    <row r="382" ht="14.25" customHeight="1" s="33"/>
    <row r="383" ht="14.25" customHeight="1" s="33"/>
    <row r="384" ht="14.25" customHeight="1" s="33"/>
    <row r="385" ht="14.25" customHeight="1" s="33"/>
    <row r="386" ht="14.25" customHeight="1" s="33"/>
    <row r="387" ht="14.25" customHeight="1" s="33"/>
    <row r="388" ht="14.25" customHeight="1" s="33"/>
    <row r="389" ht="14.25" customHeight="1" s="33"/>
    <row r="390" ht="14.25" customHeight="1" s="33"/>
    <row r="391" ht="14.25" customHeight="1" s="33"/>
    <row r="392" ht="14.25" customHeight="1" s="33"/>
    <row r="393" ht="14.25" customHeight="1" s="33"/>
    <row r="394" ht="14.25" customHeight="1" s="33"/>
    <row r="395" ht="14.25" customHeight="1" s="33"/>
    <row r="396" ht="14.25" customHeight="1" s="33"/>
    <row r="397" ht="14.25" customHeight="1" s="33"/>
    <row r="398" ht="14.25" customHeight="1" s="33"/>
    <row r="399" ht="14.25" customHeight="1" s="33"/>
    <row r="400" ht="14.25" customHeight="1" s="33"/>
    <row r="401" ht="14.25" customHeight="1" s="33"/>
    <row r="402" ht="14.25" customHeight="1" s="33"/>
    <row r="403" ht="14.25" customHeight="1" s="33"/>
    <row r="404" ht="14.25" customHeight="1" s="33"/>
    <row r="405" ht="14.25" customHeight="1" s="33"/>
    <row r="406" ht="14.25" customHeight="1" s="33"/>
    <row r="407" ht="14.25" customHeight="1" s="33"/>
    <row r="408" ht="14.25" customHeight="1" s="33"/>
    <row r="409" ht="14.25" customHeight="1" s="33"/>
    <row r="410" ht="14.25" customHeight="1" s="33"/>
    <row r="411" ht="14.25" customHeight="1" s="33"/>
    <row r="412" ht="14.25" customHeight="1" s="33"/>
    <row r="413" ht="14.25" customHeight="1" s="33"/>
    <row r="414" ht="14.25" customHeight="1" s="33"/>
    <row r="415" ht="14.25" customHeight="1" s="33"/>
    <row r="416" ht="14.25" customHeight="1" s="33"/>
    <row r="417" ht="14.25" customHeight="1" s="33"/>
    <row r="418" ht="14.25" customHeight="1" s="33"/>
    <row r="419" ht="14.25" customHeight="1" s="33"/>
    <row r="420" ht="14.25" customHeight="1" s="33"/>
    <row r="421" ht="14.25" customHeight="1" s="33"/>
    <row r="422" ht="14.25" customHeight="1" s="33"/>
    <row r="423" ht="14.25" customHeight="1" s="33"/>
    <row r="424" ht="14.25" customHeight="1" s="33"/>
    <row r="425" ht="14.25" customHeight="1" s="33"/>
    <row r="426" ht="14.25" customHeight="1" s="33"/>
    <row r="427" ht="14.25" customHeight="1" s="33"/>
    <row r="428" ht="14.25" customHeight="1" s="33"/>
    <row r="429" ht="14.25" customHeight="1" s="33"/>
    <row r="430" ht="14.25" customHeight="1" s="33"/>
    <row r="431" ht="14.25" customHeight="1" s="33"/>
    <row r="432" ht="14.25" customHeight="1" s="33"/>
    <row r="433" ht="14.25" customHeight="1" s="33"/>
    <row r="434" ht="14.25" customHeight="1" s="33"/>
    <row r="435" ht="14.25" customHeight="1" s="33"/>
    <row r="436" ht="14.25" customHeight="1" s="33"/>
    <row r="437" ht="14.25" customHeight="1" s="33"/>
    <row r="438" ht="14.25" customHeight="1" s="33"/>
    <row r="439" ht="14.25" customHeight="1" s="33"/>
    <row r="440" ht="14.25" customHeight="1" s="33"/>
    <row r="441" ht="14.25" customHeight="1" s="33"/>
    <row r="442" ht="14.25" customHeight="1" s="33"/>
    <row r="443" ht="14.25" customHeight="1" s="33"/>
    <row r="444" ht="14.25" customHeight="1" s="33"/>
    <row r="445" ht="14.25" customHeight="1" s="33"/>
    <row r="446" ht="14.25" customHeight="1" s="33"/>
    <row r="447" ht="14.25" customHeight="1" s="33"/>
    <row r="448" ht="14.25" customHeight="1" s="33"/>
    <row r="449" ht="14.25" customHeight="1" s="33"/>
    <row r="450" ht="14.25" customHeight="1" s="33"/>
    <row r="451" ht="14.25" customHeight="1" s="33"/>
    <row r="452" ht="14.25" customHeight="1" s="33"/>
    <row r="453" ht="14.25" customHeight="1" s="33"/>
    <row r="454" ht="14.25" customHeight="1" s="33"/>
    <row r="455" ht="14.25" customHeight="1" s="33"/>
    <row r="456" ht="14.25" customHeight="1" s="33"/>
    <row r="457" ht="14.25" customHeight="1" s="33"/>
    <row r="458" ht="14.25" customHeight="1" s="33"/>
    <row r="459" ht="14.25" customHeight="1" s="33"/>
    <row r="460" ht="14.25" customHeight="1" s="33"/>
    <row r="461" ht="14.25" customHeight="1" s="33"/>
    <row r="462" ht="14.25" customHeight="1" s="33"/>
    <row r="463" ht="14.25" customHeight="1" s="33"/>
    <row r="464" ht="14.25" customHeight="1" s="33"/>
    <row r="465" ht="14.25" customHeight="1" s="33"/>
    <row r="466" ht="14.25" customHeight="1" s="33"/>
    <row r="467" ht="14.25" customHeight="1" s="33"/>
    <row r="468" ht="14.25" customHeight="1" s="33"/>
    <row r="469" ht="14.25" customHeight="1" s="33"/>
    <row r="470" ht="14.25" customHeight="1" s="33"/>
    <row r="471" ht="14.25" customHeight="1" s="33"/>
    <row r="472" ht="14.25" customHeight="1" s="33"/>
    <row r="473" ht="14.25" customHeight="1" s="33"/>
    <row r="474" ht="14.25" customHeight="1" s="33"/>
    <row r="475" ht="14.25" customHeight="1" s="33"/>
    <row r="476" ht="14.25" customHeight="1" s="33"/>
    <row r="477" ht="14.25" customHeight="1" s="33"/>
    <row r="478" ht="14.25" customHeight="1" s="33"/>
    <row r="479" ht="14.25" customHeight="1" s="33"/>
    <row r="480" ht="14.25" customHeight="1" s="33"/>
    <row r="481" ht="14.25" customHeight="1" s="33"/>
    <row r="482" ht="14.25" customHeight="1" s="33"/>
    <row r="483" ht="14.25" customHeight="1" s="33"/>
    <row r="484" ht="14.25" customHeight="1" s="33"/>
    <row r="485" ht="14.25" customHeight="1" s="33"/>
    <row r="486" ht="14.25" customHeight="1" s="33"/>
    <row r="487" ht="14.25" customHeight="1" s="33"/>
    <row r="488" ht="14.25" customHeight="1" s="33"/>
    <row r="489" ht="14.25" customHeight="1" s="33"/>
    <row r="490" ht="14.25" customHeight="1" s="33"/>
    <row r="491" ht="14.25" customHeight="1" s="33"/>
    <row r="492" ht="14.25" customHeight="1" s="33"/>
    <row r="493" ht="14.25" customHeight="1" s="33"/>
    <row r="494" ht="14.25" customHeight="1" s="33"/>
    <row r="495" ht="14.25" customHeight="1" s="33"/>
    <row r="496" ht="14.25" customHeight="1" s="33"/>
    <row r="497" ht="14.25" customHeight="1" s="33"/>
    <row r="498" ht="14.25" customHeight="1" s="33"/>
    <row r="499" ht="14.25" customHeight="1" s="33"/>
    <row r="500" ht="14.25" customHeight="1" s="33"/>
    <row r="501" ht="14.25" customHeight="1" s="33"/>
    <row r="502" ht="14.25" customHeight="1" s="33"/>
    <row r="503" ht="14.25" customHeight="1" s="33"/>
    <row r="504" ht="14.25" customHeight="1" s="33"/>
    <row r="505" ht="14.25" customHeight="1" s="33"/>
    <row r="506" ht="14.25" customHeight="1" s="33"/>
    <row r="507" ht="14.25" customHeight="1" s="33"/>
    <row r="508" ht="14.25" customHeight="1" s="33"/>
    <row r="509" ht="14.25" customHeight="1" s="33"/>
    <row r="510" ht="14.25" customHeight="1" s="33"/>
    <row r="511" ht="14.25" customHeight="1" s="33"/>
    <row r="512" ht="14.25" customHeight="1" s="33"/>
    <row r="513" ht="14.25" customHeight="1" s="33"/>
    <row r="514" ht="14.25" customHeight="1" s="33"/>
    <row r="515" ht="14.25" customHeight="1" s="33"/>
    <row r="516" ht="14.25" customHeight="1" s="33"/>
    <row r="517" ht="14.25" customHeight="1" s="33"/>
    <row r="518" ht="14.25" customHeight="1" s="33"/>
    <row r="519" ht="14.25" customHeight="1" s="33"/>
    <row r="520" ht="14.25" customHeight="1" s="33"/>
    <row r="521" ht="14.25" customHeight="1" s="33"/>
    <row r="522" ht="14.25" customHeight="1" s="33"/>
    <row r="523" ht="14.25" customHeight="1" s="33"/>
    <row r="524" ht="14.25" customHeight="1" s="33"/>
    <row r="525" ht="14.25" customHeight="1" s="33"/>
    <row r="526" ht="14.25" customHeight="1" s="33"/>
    <row r="527" ht="14.25" customHeight="1" s="33"/>
    <row r="528" ht="14.25" customHeight="1" s="33"/>
    <row r="529" ht="14.25" customHeight="1" s="33"/>
    <row r="530" ht="14.25" customHeight="1" s="33"/>
    <row r="531" ht="14.25" customHeight="1" s="33"/>
    <row r="532" ht="14.25" customHeight="1" s="33"/>
    <row r="533" ht="14.25" customHeight="1" s="33"/>
    <row r="534" ht="14.25" customHeight="1" s="33"/>
    <row r="535" ht="14.25" customHeight="1" s="33"/>
    <row r="536" ht="14.25" customHeight="1" s="33"/>
    <row r="537" ht="14.25" customHeight="1" s="33"/>
    <row r="538" ht="14.25" customHeight="1" s="33"/>
    <row r="539" ht="14.25" customHeight="1" s="33"/>
    <row r="540" ht="14.25" customHeight="1" s="33"/>
    <row r="541" ht="14.25" customHeight="1" s="33"/>
    <row r="542" ht="14.25" customHeight="1" s="33"/>
    <row r="543" ht="14.25" customHeight="1" s="33"/>
    <row r="544" ht="14.25" customHeight="1" s="33"/>
    <row r="545" ht="14.25" customHeight="1" s="33"/>
    <row r="546" ht="14.25" customHeight="1" s="33"/>
    <row r="547" ht="14.25" customHeight="1" s="33"/>
    <row r="548" ht="14.25" customHeight="1" s="33"/>
    <row r="549" ht="14.25" customHeight="1" s="33"/>
    <row r="550" ht="14.25" customHeight="1" s="33"/>
    <row r="551" ht="14.25" customHeight="1" s="33"/>
    <row r="552" ht="14.25" customHeight="1" s="33"/>
    <row r="553" ht="14.25" customHeight="1" s="33"/>
    <row r="554" ht="14.25" customHeight="1" s="33"/>
    <row r="555" ht="14.25" customHeight="1" s="33"/>
    <row r="556" ht="14.25" customHeight="1" s="33"/>
    <row r="557" ht="14.25" customHeight="1" s="33"/>
    <row r="558" ht="14.25" customHeight="1" s="33"/>
    <row r="559" ht="14.25" customHeight="1" s="33"/>
    <row r="560" ht="14.25" customHeight="1" s="33"/>
    <row r="561" ht="14.25" customHeight="1" s="33"/>
    <row r="562" ht="14.25" customHeight="1" s="33"/>
    <row r="563" ht="14.25" customHeight="1" s="33"/>
    <row r="564" ht="14.25" customHeight="1" s="33"/>
    <row r="565" ht="14.25" customHeight="1" s="33"/>
    <row r="566" ht="14.25" customHeight="1" s="33"/>
    <row r="567" ht="14.25" customHeight="1" s="33"/>
    <row r="568" ht="14.25" customHeight="1" s="33"/>
    <row r="569" ht="14.25" customHeight="1" s="33"/>
    <row r="570" ht="14.25" customHeight="1" s="33"/>
    <row r="571" ht="14.25" customHeight="1" s="33"/>
    <row r="572" ht="14.25" customHeight="1" s="33"/>
    <row r="573" ht="14.25" customHeight="1" s="33"/>
    <row r="574" ht="14.25" customHeight="1" s="33"/>
    <row r="575" ht="14.25" customHeight="1" s="33"/>
    <row r="576" ht="14.25" customHeight="1" s="33"/>
    <row r="577" ht="14.25" customHeight="1" s="33"/>
    <row r="578" ht="14.25" customHeight="1" s="33"/>
    <row r="579" ht="14.25" customHeight="1" s="33"/>
    <row r="580" ht="14.25" customHeight="1" s="33"/>
    <row r="581" ht="14.25" customHeight="1" s="33"/>
    <row r="582" ht="14.25" customHeight="1" s="33"/>
    <row r="583" ht="14.25" customHeight="1" s="33"/>
    <row r="584" ht="14.25" customHeight="1" s="33"/>
    <row r="585" ht="14.25" customHeight="1" s="33"/>
    <row r="586" ht="14.25" customHeight="1" s="33"/>
    <row r="587" ht="14.25" customHeight="1" s="33"/>
    <row r="588" ht="14.25" customHeight="1" s="33"/>
    <row r="589" ht="14.25" customHeight="1" s="33"/>
    <row r="590" ht="14.25" customHeight="1" s="33"/>
    <row r="591" ht="14.25" customHeight="1" s="33"/>
    <row r="592" ht="14.25" customHeight="1" s="33"/>
    <row r="593" ht="14.25" customHeight="1" s="33"/>
    <row r="594" ht="14.25" customHeight="1" s="33"/>
    <row r="595" ht="14.25" customHeight="1" s="33"/>
    <row r="596" ht="14.25" customHeight="1" s="33"/>
    <row r="597" ht="14.25" customHeight="1" s="33"/>
    <row r="598" ht="14.25" customHeight="1" s="33"/>
    <row r="599" ht="14.25" customHeight="1" s="33"/>
    <row r="600" ht="14.25" customHeight="1" s="33"/>
    <row r="601" ht="14.25" customHeight="1" s="33"/>
    <row r="602" ht="14.25" customHeight="1" s="33"/>
    <row r="603" ht="14.25" customHeight="1" s="33"/>
    <row r="604" ht="14.25" customHeight="1" s="33"/>
    <row r="605" ht="14.25" customHeight="1" s="33"/>
    <row r="606" ht="14.25" customHeight="1" s="33"/>
    <row r="607" ht="14.25" customHeight="1" s="33"/>
    <row r="608" ht="14.25" customHeight="1" s="33"/>
    <row r="609" ht="14.25" customHeight="1" s="33"/>
    <row r="610" ht="14.25" customHeight="1" s="33"/>
    <row r="611" ht="14.25" customHeight="1" s="33"/>
    <row r="612" ht="14.25" customHeight="1" s="33"/>
    <row r="613" ht="14.25" customHeight="1" s="33"/>
    <row r="614" ht="14.25" customHeight="1" s="33"/>
    <row r="615" ht="14.25" customHeight="1" s="33"/>
    <row r="616" ht="14.25" customHeight="1" s="33"/>
    <row r="617" ht="14.25" customHeight="1" s="33"/>
    <row r="618" ht="14.25" customHeight="1" s="33"/>
    <row r="619" ht="14.25" customHeight="1" s="33"/>
    <row r="620" ht="14.25" customHeight="1" s="33"/>
    <row r="621" ht="14.25" customHeight="1" s="33"/>
    <row r="622" ht="14.25" customHeight="1" s="33"/>
    <row r="623" ht="14.25" customHeight="1" s="33"/>
    <row r="624" ht="14.25" customHeight="1" s="33"/>
    <row r="625" ht="14.25" customHeight="1" s="33"/>
    <row r="626" ht="14.25" customHeight="1" s="33"/>
    <row r="627" ht="14.25" customHeight="1" s="33"/>
    <row r="628" ht="14.25" customHeight="1" s="33"/>
    <row r="629" ht="14.25" customHeight="1" s="33"/>
    <row r="630" ht="14.25" customHeight="1" s="33"/>
    <row r="631" ht="14.25" customHeight="1" s="33"/>
    <row r="632" ht="14.25" customHeight="1" s="33"/>
    <row r="633" ht="14.25" customHeight="1" s="33"/>
    <row r="634" ht="14.25" customHeight="1" s="33"/>
    <row r="635" ht="14.25" customHeight="1" s="33"/>
    <row r="636" ht="14.25" customHeight="1" s="33"/>
    <row r="637" ht="14.25" customHeight="1" s="33"/>
    <row r="638" ht="14.25" customHeight="1" s="33"/>
    <row r="639" ht="14.25" customHeight="1" s="33"/>
    <row r="640" ht="14.25" customHeight="1" s="33"/>
    <row r="641" ht="14.25" customHeight="1" s="33"/>
    <row r="642" ht="14.25" customHeight="1" s="33"/>
    <row r="643" ht="14.25" customHeight="1" s="33"/>
    <row r="644" ht="14.25" customHeight="1" s="33"/>
    <row r="645" ht="14.25" customHeight="1" s="33"/>
    <row r="646" ht="14.25" customHeight="1" s="33"/>
    <row r="647" ht="14.25" customHeight="1" s="33"/>
    <row r="648" ht="14.25" customHeight="1" s="33"/>
    <row r="649" ht="14.25" customHeight="1" s="33"/>
    <row r="650" ht="14.25" customHeight="1" s="33"/>
    <row r="651" ht="14.25" customHeight="1" s="33"/>
    <row r="652" ht="14.25" customHeight="1" s="33"/>
    <row r="653" ht="14.25" customHeight="1" s="33"/>
    <row r="654" ht="14.25" customHeight="1" s="33"/>
    <row r="655" ht="14.25" customHeight="1" s="33"/>
    <row r="656" ht="14.25" customHeight="1" s="33"/>
    <row r="657" ht="14.25" customHeight="1" s="33"/>
    <row r="658" ht="14.25" customHeight="1" s="33"/>
    <row r="659" ht="14.25" customHeight="1" s="33"/>
    <row r="660" ht="14.25" customHeight="1" s="33"/>
    <row r="661" ht="14.25" customHeight="1" s="33"/>
    <row r="662" ht="14.25" customHeight="1" s="33"/>
    <row r="663" ht="14.25" customHeight="1" s="33"/>
    <row r="664" ht="14.25" customHeight="1" s="33"/>
    <row r="665" ht="14.25" customHeight="1" s="33"/>
    <row r="666" ht="14.25" customHeight="1" s="33"/>
    <row r="667" ht="14.25" customHeight="1" s="33"/>
    <row r="668" ht="14.25" customHeight="1" s="33"/>
    <row r="669" ht="14.25" customHeight="1" s="33"/>
    <row r="670" ht="14.25" customHeight="1" s="33"/>
    <row r="671" ht="14.25" customHeight="1" s="33"/>
    <row r="672" ht="14.25" customHeight="1" s="33"/>
    <row r="673" ht="14.25" customHeight="1" s="33"/>
    <row r="674" ht="14.25" customHeight="1" s="33"/>
    <row r="675" ht="14.25" customHeight="1" s="33"/>
    <row r="676" ht="14.25" customHeight="1" s="33"/>
    <row r="677" ht="14.25" customHeight="1" s="33"/>
    <row r="678" ht="14.25" customHeight="1" s="33"/>
    <row r="679" ht="14.25" customHeight="1" s="33"/>
    <row r="680" ht="14.25" customHeight="1" s="33"/>
    <row r="681" ht="14.25" customHeight="1" s="33"/>
    <row r="682" ht="14.25" customHeight="1" s="33"/>
    <row r="683" ht="14.25" customHeight="1" s="33"/>
    <row r="684" ht="14.25" customHeight="1" s="33"/>
    <row r="685" ht="14.25" customHeight="1" s="33"/>
    <row r="686" ht="14.25" customHeight="1" s="33"/>
    <row r="687" ht="14.25" customHeight="1" s="33"/>
    <row r="688" ht="14.25" customHeight="1" s="33"/>
    <row r="689" ht="14.25" customHeight="1" s="33"/>
    <row r="690" ht="14.25" customHeight="1" s="33"/>
    <row r="691" ht="14.25" customHeight="1" s="33"/>
    <row r="692" ht="14.25" customHeight="1" s="33"/>
    <row r="693" ht="14.25" customHeight="1" s="33"/>
    <row r="694" ht="14.25" customHeight="1" s="33"/>
    <row r="695" ht="14.25" customHeight="1" s="33"/>
    <row r="696" ht="14.25" customHeight="1" s="33"/>
    <row r="697" ht="14.25" customHeight="1" s="33"/>
    <row r="698" ht="14.25" customHeight="1" s="33"/>
    <row r="699" ht="14.25" customHeight="1" s="33"/>
    <row r="700" ht="14.25" customHeight="1" s="33"/>
    <row r="701" ht="14.25" customHeight="1" s="33"/>
    <row r="702" ht="14.25" customHeight="1" s="33"/>
    <row r="703" ht="14.25" customHeight="1" s="33"/>
    <row r="704" ht="14.25" customHeight="1" s="33"/>
    <row r="705" ht="14.25" customHeight="1" s="33"/>
    <row r="706" ht="14.25" customHeight="1" s="33"/>
    <row r="707" ht="14.25" customHeight="1" s="33"/>
    <row r="708" ht="14.25" customHeight="1" s="33"/>
    <row r="709" ht="14.25" customHeight="1" s="33"/>
    <row r="710" ht="14.25" customHeight="1" s="33"/>
    <row r="711" ht="14.25" customHeight="1" s="33"/>
    <row r="712" ht="14.25" customHeight="1" s="33"/>
    <row r="713" ht="14.25" customHeight="1" s="33"/>
    <row r="714" ht="14.25" customHeight="1" s="33"/>
    <row r="715" ht="14.25" customHeight="1" s="33"/>
    <row r="716" ht="14.25" customHeight="1" s="33"/>
    <row r="717" ht="14.25" customHeight="1" s="33"/>
    <row r="718" ht="14.25" customHeight="1" s="33"/>
    <row r="719" ht="14.25" customHeight="1" s="33"/>
    <row r="720" ht="14.25" customHeight="1" s="33"/>
    <row r="721" ht="14.25" customHeight="1" s="33"/>
    <row r="722" ht="14.25" customHeight="1" s="33"/>
    <row r="723" ht="14.25" customHeight="1" s="33"/>
    <row r="724" ht="14.25" customHeight="1" s="33"/>
    <row r="725" ht="14.25" customHeight="1" s="33"/>
    <row r="726" ht="14.25" customHeight="1" s="33"/>
    <row r="727" ht="14.25" customHeight="1" s="33"/>
    <row r="728" ht="14.25" customHeight="1" s="33"/>
    <row r="729" ht="14.25" customHeight="1" s="33"/>
    <row r="730" ht="14.25" customHeight="1" s="33"/>
    <row r="731" ht="14.25" customHeight="1" s="33"/>
    <row r="732" ht="14.25" customHeight="1" s="33"/>
    <row r="733" ht="14.25" customHeight="1" s="33"/>
    <row r="734" ht="14.25" customHeight="1" s="33"/>
    <row r="735" ht="14.25" customHeight="1" s="33"/>
    <row r="736" ht="14.25" customHeight="1" s="33"/>
    <row r="737" ht="14.25" customHeight="1" s="33"/>
    <row r="738" ht="14.25" customHeight="1" s="33"/>
    <row r="739" ht="14.25" customHeight="1" s="33"/>
    <row r="740" ht="14.25" customHeight="1" s="33"/>
    <row r="741" ht="14.25" customHeight="1" s="33"/>
    <row r="742" ht="14.25" customHeight="1" s="33"/>
    <row r="743" ht="14.25" customHeight="1" s="33"/>
    <row r="744" ht="14.25" customHeight="1" s="33"/>
    <row r="745" ht="14.25" customHeight="1" s="33"/>
    <row r="746" ht="14.25" customHeight="1" s="33"/>
    <row r="747" ht="14.25" customHeight="1" s="33"/>
    <row r="748" ht="14.25" customHeight="1" s="33"/>
    <row r="749" ht="14.25" customHeight="1" s="33"/>
    <row r="750" ht="14.25" customHeight="1" s="33"/>
    <row r="751" ht="14.25" customHeight="1" s="33"/>
    <row r="752" ht="14.25" customHeight="1" s="33"/>
    <row r="753" ht="14.25" customHeight="1" s="33"/>
    <row r="754" ht="14.25" customHeight="1" s="33"/>
    <row r="755" ht="14.25" customHeight="1" s="33"/>
    <row r="756" ht="14.25" customHeight="1" s="33"/>
    <row r="757" ht="14.25" customHeight="1" s="33"/>
    <row r="758" ht="14.25" customHeight="1" s="33"/>
    <row r="759" ht="14.25" customHeight="1" s="33"/>
    <row r="760" ht="14.25" customHeight="1" s="33"/>
    <row r="761" ht="14.25" customHeight="1" s="33"/>
    <row r="762" ht="14.25" customHeight="1" s="33"/>
    <row r="763" ht="14.25" customHeight="1" s="33"/>
    <row r="764" ht="14.25" customHeight="1" s="33"/>
    <row r="765" ht="14.25" customHeight="1" s="33"/>
    <row r="766" ht="14.25" customHeight="1" s="33"/>
    <row r="767" ht="14.25" customHeight="1" s="33"/>
    <row r="768" ht="14.25" customHeight="1" s="33"/>
    <row r="769" ht="14.25" customHeight="1" s="33"/>
    <row r="770" ht="14.25" customHeight="1" s="33"/>
    <row r="771" ht="14.25" customHeight="1" s="33"/>
    <row r="772" ht="14.25" customHeight="1" s="33"/>
    <row r="773" ht="14.25" customHeight="1" s="33"/>
    <row r="774" ht="14.25" customHeight="1" s="33"/>
    <row r="775" ht="14.25" customHeight="1" s="33"/>
    <row r="776" ht="14.25" customHeight="1" s="33"/>
    <row r="777" ht="14.25" customHeight="1" s="33"/>
    <row r="778" ht="14.25" customHeight="1" s="33"/>
    <row r="779" ht="14.25" customHeight="1" s="33"/>
    <row r="780" ht="14.25" customHeight="1" s="33"/>
    <row r="781" ht="14.25" customHeight="1" s="33"/>
    <row r="782" ht="14.25" customHeight="1" s="33"/>
    <row r="783" ht="14.25" customHeight="1" s="33"/>
    <row r="784" ht="14.25" customHeight="1" s="33"/>
    <row r="785" ht="14.25" customHeight="1" s="33"/>
    <row r="786" ht="14.25" customHeight="1" s="33"/>
    <row r="787" ht="14.25" customHeight="1" s="33"/>
    <row r="788" ht="14.25" customHeight="1" s="33"/>
    <row r="789" ht="14.25" customHeight="1" s="33"/>
    <row r="790" ht="14.25" customHeight="1" s="33"/>
    <row r="791" ht="14.25" customHeight="1" s="33"/>
    <row r="792" ht="14.25" customHeight="1" s="33"/>
    <row r="793" ht="14.25" customHeight="1" s="33"/>
    <row r="794" ht="14.25" customHeight="1" s="33"/>
    <row r="795" ht="14.25" customHeight="1" s="33"/>
    <row r="796" ht="14.25" customHeight="1" s="33"/>
    <row r="797" ht="14.25" customHeight="1" s="33"/>
    <row r="798" ht="14.25" customHeight="1" s="33"/>
    <row r="799" ht="14.25" customHeight="1" s="33"/>
    <row r="800" ht="14.25" customHeight="1" s="33"/>
    <row r="801" ht="14.25" customHeight="1" s="33"/>
    <row r="802" ht="14.25" customHeight="1" s="33"/>
    <row r="803" ht="14.25" customHeight="1" s="33"/>
    <row r="804" ht="14.25" customHeight="1" s="33"/>
    <row r="805" ht="14.25" customHeight="1" s="33"/>
    <row r="806" ht="14.25" customHeight="1" s="33"/>
    <row r="807" ht="14.25" customHeight="1" s="33"/>
    <row r="808" ht="14.25" customHeight="1" s="33"/>
    <row r="809" ht="14.25" customHeight="1" s="33"/>
    <row r="810" ht="14.25" customHeight="1" s="33"/>
    <row r="811" ht="14.25" customHeight="1" s="33"/>
    <row r="812" ht="14.25" customHeight="1" s="33"/>
    <row r="813" ht="14.25" customHeight="1" s="33"/>
    <row r="814" ht="14.25" customHeight="1" s="33"/>
    <row r="815" ht="14.25" customHeight="1" s="33"/>
    <row r="816" ht="14.25" customHeight="1" s="33"/>
    <row r="817" ht="14.25" customHeight="1" s="33"/>
    <row r="818" ht="14.25" customHeight="1" s="33"/>
    <row r="819" ht="14.25" customHeight="1" s="33"/>
    <row r="820" ht="14.25" customHeight="1" s="33"/>
    <row r="821" ht="14.25" customHeight="1" s="33"/>
    <row r="822" ht="14.25" customHeight="1" s="33"/>
    <row r="823" ht="14.25" customHeight="1" s="33"/>
    <row r="824" ht="14.25" customHeight="1" s="33"/>
    <row r="825" ht="14.25" customHeight="1" s="33"/>
    <row r="826" ht="14.25" customHeight="1" s="33"/>
    <row r="827" ht="14.25" customHeight="1" s="33"/>
    <row r="828" ht="14.25" customHeight="1" s="33"/>
    <row r="829" ht="14.25" customHeight="1" s="33"/>
    <row r="830" ht="14.25" customHeight="1" s="33"/>
    <row r="831" ht="14.25" customHeight="1" s="33"/>
    <row r="832" ht="14.25" customHeight="1" s="33"/>
    <row r="833" ht="14.25" customHeight="1" s="33"/>
    <row r="834" ht="14.25" customHeight="1" s="33"/>
    <row r="835" ht="14.25" customHeight="1" s="33"/>
    <row r="836" ht="14.25" customHeight="1" s="33"/>
    <row r="837" ht="14.25" customHeight="1" s="33"/>
    <row r="838" ht="14.25" customHeight="1" s="33"/>
    <row r="839" ht="14.25" customHeight="1" s="33"/>
    <row r="840" ht="14.25" customHeight="1" s="33"/>
    <row r="841" ht="14.25" customHeight="1" s="33"/>
    <row r="842" ht="14.25" customHeight="1" s="33"/>
    <row r="843" ht="14.25" customHeight="1" s="33"/>
    <row r="844" ht="14.25" customHeight="1" s="33"/>
    <row r="845" ht="14.25" customHeight="1" s="33"/>
    <row r="846" ht="14.25" customHeight="1" s="33"/>
    <row r="847" ht="14.25" customHeight="1" s="33"/>
    <row r="848" ht="14.25" customHeight="1" s="33"/>
    <row r="849" ht="14.25" customHeight="1" s="33"/>
    <row r="850" ht="14.25" customHeight="1" s="33"/>
    <row r="851" ht="14.25" customHeight="1" s="33"/>
    <row r="852" ht="14.25" customHeight="1" s="33"/>
    <row r="853" ht="14.25" customHeight="1" s="33"/>
    <row r="854" ht="14.25" customHeight="1" s="33"/>
    <row r="855" ht="14.25" customHeight="1" s="33"/>
    <row r="856" ht="14.25" customHeight="1" s="33"/>
    <row r="857" ht="14.25" customHeight="1" s="33"/>
    <row r="858" ht="14.25" customHeight="1" s="33"/>
    <row r="859" ht="14.25" customHeight="1" s="33"/>
    <row r="860" ht="14.25" customHeight="1" s="33"/>
    <row r="861" ht="14.25" customHeight="1" s="33"/>
    <row r="862" ht="14.25" customHeight="1" s="33"/>
    <row r="863" ht="14.25" customHeight="1" s="33"/>
    <row r="864" ht="14.25" customHeight="1" s="33"/>
    <row r="865" ht="14.25" customHeight="1" s="33"/>
    <row r="866" ht="14.25" customHeight="1" s="33"/>
    <row r="867" ht="14.25" customHeight="1" s="33"/>
    <row r="868" ht="14.25" customHeight="1" s="33"/>
    <row r="869" ht="14.25" customHeight="1" s="33"/>
    <row r="870" ht="14.25" customHeight="1" s="33"/>
    <row r="871" ht="14.25" customHeight="1" s="33"/>
    <row r="872" ht="14.25" customHeight="1" s="33"/>
    <row r="873" ht="14.25" customHeight="1" s="33"/>
    <row r="874" ht="14.25" customHeight="1" s="33"/>
    <row r="875" ht="14.25" customHeight="1" s="33"/>
    <row r="876" ht="14.25" customHeight="1" s="33"/>
    <row r="877" ht="14.25" customHeight="1" s="33"/>
    <row r="878" ht="14.25" customHeight="1" s="33"/>
    <row r="879" ht="14.25" customHeight="1" s="33"/>
    <row r="880" ht="14.25" customHeight="1" s="33"/>
    <row r="881" ht="14.25" customHeight="1" s="33"/>
    <row r="882" ht="14.25" customHeight="1" s="33"/>
    <row r="883" ht="14.25" customHeight="1" s="33"/>
    <row r="884" ht="14.25" customHeight="1" s="33"/>
    <row r="885" ht="14.25" customHeight="1" s="33"/>
    <row r="886" ht="14.25" customHeight="1" s="33"/>
    <row r="887" ht="14.25" customHeight="1" s="33"/>
    <row r="888" ht="14.25" customHeight="1" s="33"/>
    <row r="889" ht="14.25" customHeight="1" s="33"/>
    <row r="890" ht="14.25" customHeight="1" s="33"/>
    <row r="891" ht="14.25" customHeight="1" s="33"/>
    <row r="892" ht="14.25" customHeight="1" s="33"/>
    <row r="893" ht="14.25" customHeight="1" s="33"/>
    <row r="894" ht="14.25" customHeight="1" s="33"/>
    <row r="895" ht="14.25" customHeight="1" s="33"/>
    <row r="896" ht="14.25" customHeight="1" s="33"/>
    <row r="897" ht="14.25" customHeight="1" s="33"/>
    <row r="898" ht="14.25" customHeight="1" s="33"/>
    <row r="899" ht="14.25" customHeight="1" s="33"/>
    <row r="900" ht="14.25" customHeight="1" s="33"/>
    <row r="901" ht="14.25" customHeight="1" s="33"/>
    <row r="902" ht="14.25" customHeight="1" s="33"/>
    <row r="903" ht="14.25" customHeight="1" s="33"/>
    <row r="904" ht="14.25" customHeight="1" s="33"/>
    <row r="905" ht="14.25" customHeight="1" s="33"/>
    <row r="906" ht="14.25" customHeight="1" s="33"/>
    <row r="907" ht="14.25" customHeight="1" s="33"/>
    <row r="908" ht="14.25" customHeight="1" s="33"/>
    <row r="909" ht="14.25" customHeight="1" s="33"/>
    <row r="910" ht="14.25" customHeight="1" s="33"/>
    <row r="911" ht="14.25" customHeight="1" s="33"/>
    <row r="912" ht="14.25" customHeight="1" s="33"/>
    <row r="913" ht="14.25" customHeight="1" s="33"/>
    <row r="914" ht="14.25" customHeight="1" s="33"/>
    <row r="915" ht="14.25" customHeight="1" s="33"/>
    <row r="916" ht="14.25" customHeight="1" s="33"/>
    <row r="917" ht="14.25" customHeight="1" s="33"/>
    <row r="918" ht="14.25" customHeight="1" s="33"/>
    <row r="919" ht="14.25" customHeight="1" s="33"/>
    <row r="920" ht="14.25" customHeight="1" s="33"/>
    <row r="921" ht="14.25" customHeight="1" s="33"/>
    <row r="922" ht="14.25" customHeight="1" s="33"/>
    <row r="923" ht="14.25" customHeight="1" s="33"/>
    <row r="924" ht="14.25" customHeight="1" s="33"/>
    <row r="925" ht="14.25" customHeight="1" s="33"/>
    <row r="926" ht="14.25" customHeight="1" s="33"/>
    <row r="927" ht="14.25" customHeight="1" s="33"/>
    <row r="928" ht="14.25" customHeight="1" s="33"/>
    <row r="929" ht="14.25" customHeight="1" s="33"/>
    <row r="930" ht="14.25" customHeight="1" s="33"/>
    <row r="931" ht="14.25" customHeight="1" s="33"/>
    <row r="932" ht="14.25" customHeight="1" s="33"/>
    <row r="933" ht="14.25" customHeight="1" s="33"/>
    <row r="934" ht="14.25" customHeight="1" s="33"/>
    <row r="935" ht="14.25" customHeight="1" s="33"/>
    <row r="936" ht="14.25" customHeight="1" s="33"/>
    <row r="937" ht="14.25" customHeight="1" s="33"/>
    <row r="938" ht="14.25" customHeight="1" s="33"/>
    <row r="939" ht="14.25" customHeight="1" s="33"/>
    <row r="940" ht="14.25" customHeight="1" s="33"/>
    <row r="941" ht="14.25" customHeight="1" s="33"/>
    <row r="942" ht="14.25" customHeight="1" s="33"/>
    <row r="943" ht="14.25" customHeight="1" s="33"/>
    <row r="944" ht="14.25" customHeight="1" s="33"/>
    <row r="945" ht="14.25" customHeight="1" s="33"/>
    <row r="946" ht="14.25" customHeight="1" s="33"/>
    <row r="947" ht="14.25" customHeight="1" s="33"/>
    <row r="948" ht="14.25" customHeight="1" s="33"/>
    <row r="949" ht="14.25" customHeight="1" s="33"/>
    <row r="950" ht="14.25" customHeight="1" s="33"/>
    <row r="951" ht="14.25" customHeight="1" s="33"/>
    <row r="952" ht="14.25" customHeight="1" s="33"/>
    <row r="953" ht="14.25" customHeight="1" s="33"/>
    <row r="954" ht="14.25" customHeight="1" s="33"/>
    <row r="955" ht="14.25" customHeight="1" s="33"/>
    <row r="956" ht="14.25" customHeight="1" s="33"/>
    <row r="957" ht="14.25" customHeight="1" s="33"/>
    <row r="958" ht="14.25" customHeight="1" s="33"/>
    <row r="959" ht="14.25" customHeight="1" s="33"/>
    <row r="960" ht="14.25" customHeight="1" s="33"/>
    <row r="961" ht="14.25" customHeight="1" s="33"/>
    <row r="962" ht="14.25" customHeight="1" s="33"/>
    <row r="963" ht="14.25" customHeight="1" s="33"/>
    <row r="964" ht="14.25" customHeight="1" s="33"/>
    <row r="965" ht="14.25" customHeight="1" s="33"/>
    <row r="966" ht="14.25" customHeight="1" s="33"/>
    <row r="967" ht="14.25" customHeight="1" s="33"/>
    <row r="968" ht="14.25" customHeight="1" s="33"/>
    <row r="969" ht="14.25" customHeight="1" s="33"/>
    <row r="970" ht="14.25" customHeight="1" s="33"/>
    <row r="971" ht="14.25" customHeight="1" s="33"/>
    <row r="972" ht="14.25" customHeight="1" s="33"/>
    <row r="973" ht="14.25" customHeight="1" s="33"/>
    <row r="974" ht="14.25" customHeight="1" s="33"/>
    <row r="975" ht="14.25" customHeight="1" s="33"/>
    <row r="976" ht="14.25" customHeight="1" s="33"/>
    <row r="977" ht="14.25" customHeight="1" s="33"/>
    <row r="978" ht="14.25" customHeight="1" s="33"/>
    <row r="979" ht="14.25" customHeight="1" s="33"/>
    <row r="980" ht="14.25" customHeight="1" s="33"/>
    <row r="981" ht="14.25" customHeight="1" s="33"/>
    <row r="982" ht="14.25" customHeight="1" s="33"/>
    <row r="983" ht="14.25" customHeight="1" s="33"/>
    <row r="984" ht="14.25" customHeight="1" s="33"/>
    <row r="985" ht="14.25" customHeight="1" s="33"/>
    <row r="986" ht="14.25" customHeight="1" s="33"/>
    <row r="987" ht="14.25" customHeight="1" s="33"/>
    <row r="988" ht="14.25" customHeight="1" s="33"/>
    <row r="989" ht="14.25" customHeight="1" s="33"/>
    <row r="990" ht="14.25" customHeight="1" s="33"/>
    <row r="991" ht="14.25" customHeight="1" s="33"/>
    <row r="992" ht="14.25" customHeight="1" s="33"/>
    <row r="993" ht="14.25" customHeight="1" s="33"/>
    <row r="994" ht="14.25" customHeight="1" s="33"/>
    <row r="995" ht="14.25" customHeight="1" s="33"/>
    <row r="996" ht="14.25" customHeight="1" s="33"/>
    <row r="997" ht="14.25" customHeight="1" s="33"/>
    <row r="998" ht="14.25" customHeight="1" s="33"/>
    <row r="999" ht="14.25" customHeight="1" s="33"/>
    <row r="1000" ht="14.25" customHeight="1" s="33"/>
  </sheetData>
  <mergeCells count="20">
    <mergeCell ref="A163:F163"/>
    <mergeCell ref="A3:F3"/>
    <mergeCell ref="A195:F195"/>
    <mergeCell ref="A213:F213"/>
    <mergeCell ref="A126:F126"/>
    <mergeCell ref="A262:F262"/>
    <mergeCell ref="A200:F200"/>
    <mergeCell ref="A93:F93"/>
    <mergeCell ref="A13:F13"/>
    <mergeCell ref="A102:F102"/>
    <mergeCell ref="A289:F289"/>
    <mergeCell ref="A276:F276"/>
    <mergeCell ref="A143:F143"/>
    <mergeCell ref="A176:F176"/>
    <mergeCell ref="A270:F270"/>
    <mergeCell ref="A257:F257"/>
    <mergeCell ref="A24:F24"/>
    <mergeCell ref="A107:F107"/>
    <mergeCell ref="A1:F1"/>
    <mergeCell ref="A70:F70"/>
  </mergeCells>
  <dataValidations count="1">
    <dataValidation sqref="E5:E10 E15:E21 E26:E67 E72:E90 E95:E99 E104 E109:E123 E128:E140 E145:E160 E165:E173 E178:E192 E197 E202:E210 E215:E254 E259 E264:E267 E272:E273 E278:E286 E291:E296" showDropDown="0" showInputMessage="0" showErrorMessage="0" allowBlank="1" type="list">
      <formula1>"SI,NO"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4"/>
  <sheetViews>
    <sheetView workbookViewId="0">
      <selection activeCell="A1" sqref="A1"/>
    </sheetView>
  </sheetViews>
  <sheetFormatPr baseColWidth="8" defaultColWidth="14.43" defaultRowHeight="15" customHeight="1"/>
  <cols>
    <col width="14" customWidth="1" style="33" min="1" max="1"/>
    <col width="42" customWidth="1" style="33" min="2" max="2"/>
    <col width="14" customWidth="1" style="33" min="3" max="3"/>
    <col width="12" customWidth="1" style="33" min="4" max="4"/>
    <col width="18" customWidth="1" style="33" min="5" max="5"/>
    <col width="8.710000000000001" customWidth="1" style="33" min="6" max="26"/>
  </cols>
  <sheetData>
    <row r="1" ht="14.25" customHeight="1" s="33">
      <c r="A1" s="1" t="inlineStr">
        <is>
          <t>SPESE PERSONALI ALEX (non da dividere)</t>
        </is>
      </c>
    </row>
    <row r="2" ht="14.25" customHeight="1" s="33"/>
    <row r="3" ht="14.25" customHeight="1" s="33">
      <c r="A3" s="34" t="inlineStr">
        <is>
          <t>VIAGGIO MILANO (21-22 Gen)</t>
        </is>
      </c>
      <c r="B3" s="35" t="n"/>
      <c r="C3" s="35" t="n"/>
      <c r="D3" s="35" t="n"/>
      <c r="E3" s="36" t="n"/>
    </row>
    <row r="4" ht="14.25" customHeight="1" s="33">
      <c r="A4" s="5" t="inlineStr">
        <is>
          <t>Data</t>
        </is>
      </c>
      <c r="B4" s="5" t="inlineStr">
        <is>
          <t>Descrizione</t>
        </is>
      </c>
      <c r="C4" s="5" t="inlineStr">
        <is>
          <t>Importo</t>
        </is>
      </c>
      <c r="D4" s="5" t="inlineStr">
        <is>
          <t>Fonte</t>
        </is>
      </c>
      <c r="E4" s="5" t="inlineStr">
        <is>
          <t>Note</t>
        </is>
      </c>
    </row>
    <row r="5" ht="14.25" customHeight="1" s="33">
      <c r="A5" s="13" t="inlineStr">
        <is>
          <t>21/01/2026</t>
        </is>
      </c>
      <c r="B5" s="13" t="inlineStr">
        <is>
          <t>EXAL SRL hotel Milano</t>
        </is>
      </c>
      <c r="C5" s="11" t="n">
        <v>9.5</v>
      </c>
      <c r="D5" s="13" t="inlineStr">
        <is>
          <t>Banca</t>
        </is>
      </c>
      <c r="E5" s="13" t="n"/>
    </row>
    <row r="6" ht="14.25" customHeight="1" s="33">
      <c r="A6" s="9" t="inlineStr">
        <is>
          <t>TOTALE</t>
        </is>
      </c>
      <c r="B6" s="9" t="n"/>
      <c r="C6" s="10">
        <f>SUM(C5)</f>
        <v/>
      </c>
      <c r="D6" s="9" t="n"/>
      <c r="E6" s="9" t="n"/>
    </row>
    <row r="7" ht="14.25" customHeight="1" s="33"/>
    <row r="8" ht="14.25" customHeight="1" s="33">
      <c r="A8" s="34" t="inlineStr">
        <is>
          <t>CARBURANTE (quotidiano)</t>
        </is>
      </c>
      <c r="B8" s="35" t="n"/>
      <c r="C8" s="35" t="n"/>
      <c r="D8" s="35" t="n"/>
      <c r="E8" s="36" t="n"/>
    </row>
    <row r="9" ht="14.25" customHeight="1" s="33">
      <c r="A9" s="5" t="inlineStr">
        <is>
          <t>Data</t>
        </is>
      </c>
      <c r="B9" s="5" t="inlineStr">
        <is>
          <t>Descrizione</t>
        </is>
      </c>
      <c r="C9" s="5" t="inlineStr">
        <is>
          <t>Importo</t>
        </is>
      </c>
      <c r="D9" s="5" t="inlineStr">
        <is>
          <t>Fonte</t>
        </is>
      </c>
      <c r="E9" s="5" t="inlineStr">
        <is>
          <t>Note</t>
        </is>
      </c>
    </row>
    <row r="10" ht="14.25" customHeight="1" s="33">
      <c r="A10" s="13" t="inlineStr">
        <is>
          <t>03/10/2025</t>
        </is>
      </c>
      <c r="B10" s="13" t="inlineStr">
        <is>
          <t>Distributore Ponte San Giovanni</t>
        </is>
      </c>
      <c r="C10" s="11" t="n">
        <v>12.63</v>
      </c>
      <c r="D10" s="13" t="inlineStr">
        <is>
          <t>Banca</t>
        </is>
      </c>
      <c r="E10" s="13" t="n"/>
    </row>
    <row r="11" ht="14.25" customHeight="1" s="33">
      <c r="A11" s="13" t="inlineStr">
        <is>
          <t>16/10/2025</t>
        </is>
      </c>
      <c r="B11" s="13" t="inlineStr">
        <is>
          <t>PV4894 Foligno</t>
        </is>
      </c>
      <c r="C11" s="11" t="n">
        <v>17.45</v>
      </c>
      <c r="D11" s="13" t="inlineStr">
        <is>
          <t>Banca</t>
        </is>
      </c>
      <c r="E11" s="13" t="n"/>
    </row>
    <row r="12" ht="14.25" customHeight="1" s="33">
      <c r="A12" s="13" t="inlineStr">
        <is>
          <t>18/10/2025</t>
        </is>
      </c>
      <c r="B12" s="13" t="inlineStr">
        <is>
          <t>B.D.S. AGIP Rapolano Terme</t>
        </is>
      </c>
      <c r="C12" s="11" t="n">
        <v>9.119999999999999</v>
      </c>
      <c r="D12" s="13" t="inlineStr">
        <is>
          <t>Banca</t>
        </is>
      </c>
      <c r="E12" s="13" t="n"/>
    </row>
    <row r="13" ht="14.25" customHeight="1" s="33">
      <c r="A13" s="13" t="inlineStr">
        <is>
          <t>19/10/2025</t>
        </is>
      </c>
      <c r="B13" s="13" t="inlineStr">
        <is>
          <t>IP PV 43656 Perugia</t>
        </is>
      </c>
      <c r="C13" s="11" t="n">
        <v>12.6</v>
      </c>
      <c r="D13" s="13" t="inlineStr">
        <is>
          <t>Banca</t>
        </is>
      </c>
      <c r="E13" s="13" t="n"/>
    </row>
    <row r="14" ht="14.25" customHeight="1" s="33">
      <c r="A14" s="13" t="inlineStr">
        <is>
          <t>27/10/2025</t>
        </is>
      </c>
      <c r="B14" s="13" t="inlineStr">
        <is>
          <t>Kuwait Petroleum Bastia Umbra</t>
        </is>
      </c>
      <c r="C14" s="11" t="n">
        <v>20.3</v>
      </c>
      <c r="D14" s="13" t="inlineStr">
        <is>
          <t>Banca</t>
        </is>
      </c>
      <c r="E14" s="13" t="n"/>
    </row>
    <row r="15" ht="14.25" customHeight="1" s="33">
      <c r="A15" s="13" t="inlineStr">
        <is>
          <t>31/10/2025</t>
        </is>
      </c>
      <c r="B15" s="13" t="inlineStr">
        <is>
          <t>Q8 Cioccoloni Bastia Umbra</t>
        </is>
      </c>
      <c r="C15" s="11" t="n">
        <v>15.5</v>
      </c>
      <c r="D15" s="13" t="inlineStr">
        <is>
          <t>Banca</t>
        </is>
      </c>
      <c r="E15" s="13" t="n"/>
    </row>
    <row r="16" ht="14.25" customHeight="1" s="33">
      <c r="A16" s="13" t="inlineStr">
        <is>
          <t>05/11/2025</t>
        </is>
      </c>
      <c r="B16" s="13" t="inlineStr">
        <is>
          <t>PV4894 Foligno</t>
        </is>
      </c>
      <c r="C16" s="11" t="n">
        <v>17.94</v>
      </c>
      <c r="D16" s="13" t="inlineStr">
        <is>
          <t>Banca</t>
        </is>
      </c>
      <c r="E16" s="13" t="n"/>
    </row>
    <row r="17" ht="14.25" customHeight="1" s="33">
      <c r="A17" s="13" t="inlineStr">
        <is>
          <t>14/11/2025</t>
        </is>
      </c>
      <c r="B17" s="13" t="inlineStr">
        <is>
          <t>Q8 Cioccoloni Bastia Umbra</t>
        </is>
      </c>
      <c r="C17" s="11" t="n">
        <v>16</v>
      </c>
      <c r="D17" s="13" t="inlineStr">
        <is>
          <t>Banca</t>
        </is>
      </c>
      <c r="E17" s="13" t="n"/>
    </row>
    <row r="18" ht="14.25" customHeight="1" s="33">
      <c r="A18" s="13" t="inlineStr">
        <is>
          <t>19/11/2025</t>
        </is>
      </c>
      <c r="B18" s="13" t="inlineStr">
        <is>
          <t>IP PV 43656 Perugia</t>
        </is>
      </c>
      <c r="C18" s="11" t="n">
        <v>15.4</v>
      </c>
      <c r="D18" s="13" t="inlineStr">
        <is>
          <t>Banca</t>
        </is>
      </c>
      <c r="E18" s="13" t="n"/>
    </row>
    <row r="19" ht="14.25" customHeight="1" s="33">
      <c r="A19" s="13" t="inlineStr">
        <is>
          <t>27/11/2025</t>
        </is>
      </c>
      <c r="B19" s="13" t="inlineStr">
        <is>
          <t>47748 Foligno</t>
        </is>
      </c>
      <c r="C19" s="11" t="n">
        <v>30.03</v>
      </c>
      <c r="D19" s="13" t="inlineStr">
        <is>
          <t>Banca</t>
        </is>
      </c>
      <c r="E19" s="13" t="n"/>
    </row>
    <row r="20" ht="14.25" customHeight="1" s="33">
      <c r="A20" s="13" t="inlineStr">
        <is>
          <t>28/11/2025</t>
        </is>
      </c>
      <c r="B20" s="13" t="inlineStr">
        <is>
          <t>Stazione Servizio Trevi</t>
        </is>
      </c>
      <c r="C20" s="11" t="n">
        <v>19.8</v>
      </c>
      <c r="D20" s="13" t="inlineStr">
        <is>
          <t>Banca</t>
        </is>
      </c>
      <c r="E20" s="13" t="n"/>
    </row>
    <row r="21" ht="14.25" customHeight="1" s="33">
      <c r="A21" s="13" t="inlineStr">
        <is>
          <t>06/12/2025</t>
        </is>
      </c>
      <c r="B21" s="13" t="inlineStr">
        <is>
          <t>Automigliorgas Perugia</t>
        </is>
      </c>
      <c r="C21" s="11" t="n">
        <v>21.9</v>
      </c>
      <c r="D21" s="13" t="inlineStr">
        <is>
          <t>Banca</t>
        </is>
      </c>
      <c r="E21" s="13" t="n"/>
    </row>
    <row r="22" ht="14.25" customHeight="1" s="33">
      <c r="A22" s="13" t="inlineStr">
        <is>
          <t>19/12/2025</t>
        </is>
      </c>
      <c r="B22" s="13" t="inlineStr">
        <is>
          <t>Distributore Conad Perugia</t>
        </is>
      </c>
      <c r="C22" s="11" t="n">
        <v>66.25</v>
      </c>
      <c r="D22" s="13" t="inlineStr">
        <is>
          <t>Banca</t>
        </is>
      </c>
      <c r="E22" s="13" t="n"/>
    </row>
    <row r="23" ht="14.25" customHeight="1" s="33">
      <c r="A23" s="13" t="inlineStr">
        <is>
          <t>04/02/2026</t>
        </is>
      </c>
      <c r="B23" s="13" t="inlineStr">
        <is>
          <t>PV4894 Foligno</t>
        </is>
      </c>
      <c r="C23" s="11" t="n">
        <v>24.2</v>
      </c>
      <c r="D23" s="13" t="inlineStr">
        <is>
          <t>Banca</t>
        </is>
      </c>
      <c r="E23" s="13" t="n"/>
    </row>
    <row r="24" ht="14.25" customHeight="1" s="33">
      <c r="A24" s="13" t="inlineStr">
        <is>
          <t>14/02/2026</t>
        </is>
      </c>
      <c r="B24" s="13" t="inlineStr">
        <is>
          <t>Centr.Metano Foligno (auto)</t>
        </is>
      </c>
      <c r="C24" s="11" t="n">
        <v>67.16</v>
      </c>
      <c r="D24" s="13" t="inlineStr">
        <is>
          <t>Banca</t>
        </is>
      </c>
      <c r="E24" s="13" t="n"/>
    </row>
    <row r="25" ht="14.25" customHeight="1" s="33">
      <c r="A25" s="13" t="inlineStr">
        <is>
          <t>14/02/2026</t>
        </is>
      </c>
      <c r="B25" s="13" t="inlineStr">
        <is>
          <t>Centr.Metano Foligno (auto)</t>
        </is>
      </c>
      <c r="C25" s="11" t="n">
        <v>13.9</v>
      </c>
      <c r="D25" s="13" t="inlineStr">
        <is>
          <t>Banca</t>
        </is>
      </c>
      <c r="E25" s="13" t="n"/>
    </row>
    <row r="26" ht="14.25" customHeight="1" s="33">
      <c r="A26" s="13" t="inlineStr">
        <is>
          <t>27/02/2026</t>
        </is>
      </c>
      <c r="B26" s="13" t="inlineStr">
        <is>
          <t>Q8 Cioccoloni Bastia Umbra</t>
        </is>
      </c>
      <c r="C26" s="11" t="n">
        <v>15.75</v>
      </c>
      <c r="D26" s="13" t="inlineStr">
        <is>
          <t>Banca</t>
        </is>
      </c>
      <c r="E26" s="13" t="n"/>
    </row>
    <row r="27" ht="14.25" customHeight="1" s="33">
      <c r="A27" s="13" t="inlineStr">
        <is>
          <t>21/03/2026</t>
        </is>
      </c>
      <c r="B27" s="13" t="inlineStr">
        <is>
          <t>Q8 Cioccoloni Bastia Umbra</t>
        </is>
      </c>
      <c r="C27" s="11" t="n">
        <v>22.1</v>
      </c>
      <c r="D27" s="13" t="inlineStr">
        <is>
          <t>Banca</t>
        </is>
      </c>
      <c r="E27" s="13" t="n"/>
    </row>
    <row r="28" ht="14.25" customHeight="1" s="33">
      <c r="A28" s="13" t="inlineStr">
        <is>
          <t>06/04/2026</t>
        </is>
      </c>
      <c r="B28" s="13" t="inlineStr">
        <is>
          <t>Q8 Cioccoloni</t>
        </is>
      </c>
      <c r="C28" s="11" t="n">
        <v>21.12</v>
      </c>
      <c r="D28" s="13" t="inlineStr">
        <is>
          <t>Screenshot</t>
        </is>
      </c>
      <c r="E28" s="13" t="n"/>
    </row>
    <row r="29" ht="14.25" customHeight="1" s="33">
      <c r="A29" s="9" t="inlineStr">
        <is>
          <t>TOTALE</t>
        </is>
      </c>
      <c r="B29" s="9" t="n"/>
      <c r="C29" s="10">
        <f>SUM(C10:C28)</f>
        <v/>
      </c>
      <c r="D29" s="9" t="n"/>
      <c r="E29" s="9" t="n"/>
    </row>
    <row r="30" ht="14.25" customHeight="1" s="33"/>
    <row r="31" ht="14.25" customHeight="1" s="33">
      <c r="A31" s="34" t="inlineStr">
        <is>
          <t>SALUTE / FARMACIA</t>
        </is>
      </c>
      <c r="B31" s="35" t="n"/>
      <c r="C31" s="35" t="n"/>
      <c r="D31" s="35" t="n"/>
      <c r="E31" s="36" t="n"/>
    </row>
    <row r="32" ht="14.25" customHeight="1" s="33">
      <c r="A32" s="5" t="inlineStr">
        <is>
          <t>Data</t>
        </is>
      </c>
      <c r="B32" s="5" t="inlineStr">
        <is>
          <t>Descrizione</t>
        </is>
      </c>
      <c r="C32" s="5" t="inlineStr">
        <is>
          <t>Importo</t>
        </is>
      </c>
      <c r="D32" s="5" t="inlineStr">
        <is>
          <t>Fonte</t>
        </is>
      </c>
      <c r="E32" s="5" t="inlineStr">
        <is>
          <t>Note</t>
        </is>
      </c>
    </row>
    <row r="33" ht="14.25" customHeight="1" s="33">
      <c r="A33" s="13" t="inlineStr">
        <is>
          <t>07/10/2025</t>
        </is>
      </c>
      <c r="B33" s="13" t="inlineStr">
        <is>
          <t>AFAM SPA Foligno</t>
        </is>
      </c>
      <c r="C33" s="11" t="n">
        <v>26</v>
      </c>
      <c r="D33" s="13" t="inlineStr">
        <is>
          <t>Banca</t>
        </is>
      </c>
      <c r="E33" s="13" t="n"/>
    </row>
    <row r="34" ht="14.25" customHeight="1" s="33">
      <c r="A34" s="13" t="inlineStr">
        <is>
          <t>13/10/2025</t>
        </is>
      </c>
      <c r="B34" s="13" t="inlineStr">
        <is>
          <t>Dott Studio Medico Perugia</t>
        </is>
      </c>
      <c r="C34" s="11" t="n">
        <v>180</v>
      </c>
      <c r="D34" s="13" t="inlineStr">
        <is>
          <t>Banca</t>
        </is>
      </c>
      <c r="E34" s="13" t="n"/>
    </row>
    <row r="35" ht="14.25" customHeight="1" s="33">
      <c r="A35" s="13" t="inlineStr">
        <is>
          <t>17/10/2025</t>
        </is>
      </c>
      <c r="B35" s="13" t="inlineStr">
        <is>
          <t>Farmacia Bartoli Foligno</t>
        </is>
      </c>
      <c r="C35" s="11" t="n">
        <v>68.90000000000001</v>
      </c>
      <c r="D35" s="13" t="inlineStr">
        <is>
          <t>Banca</t>
        </is>
      </c>
      <c r="E35" s="13" t="n"/>
    </row>
    <row r="36" ht="14.25" customHeight="1" s="33">
      <c r="A36" s="13" t="inlineStr">
        <is>
          <t>28/10/2025</t>
        </is>
      </c>
      <c r="B36" s="13" t="inlineStr">
        <is>
          <t>Farmacia AFAS Perugia</t>
        </is>
      </c>
      <c r="C36" s="11" t="n">
        <v>19.9</v>
      </c>
      <c r="D36" s="13" t="inlineStr">
        <is>
          <t>Banca</t>
        </is>
      </c>
      <c r="E36" s="13" t="n"/>
    </row>
    <row r="37" ht="14.25" customHeight="1" s="33">
      <c r="A37" s="13" t="inlineStr">
        <is>
          <t>28/10/2025</t>
        </is>
      </c>
      <c r="B37" s="13" t="inlineStr">
        <is>
          <t>Rimborso farmacia (entrata)</t>
        </is>
      </c>
      <c r="C37" s="11" t="n">
        <v>-40</v>
      </c>
      <c r="D37" s="13" t="inlineStr">
        <is>
          <t>Banca</t>
        </is>
      </c>
      <c r="E37" s="13" t="n"/>
    </row>
    <row r="38" ht="14.25" customHeight="1" s="33">
      <c r="A38" s="13" t="inlineStr">
        <is>
          <t>12/11/2025</t>
        </is>
      </c>
      <c r="B38" s="13" t="inlineStr">
        <is>
          <t>Farmacia Pimpinelli Magione</t>
        </is>
      </c>
      <c r="C38" s="11" t="n">
        <v>28</v>
      </c>
      <c r="D38" s="13" t="inlineStr">
        <is>
          <t>Banca</t>
        </is>
      </c>
      <c r="E38" s="13" t="n"/>
    </row>
    <row r="39" ht="14.25" customHeight="1" s="33">
      <c r="A39" s="13" t="inlineStr">
        <is>
          <t>19/11/2025</t>
        </is>
      </c>
      <c r="B39" s="13" t="inlineStr">
        <is>
          <t>Dott Studio Medico Perugia</t>
        </is>
      </c>
      <c r="C39" s="11" t="n">
        <v>180</v>
      </c>
      <c r="D39" s="13" t="inlineStr">
        <is>
          <t>Banca</t>
        </is>
      </c>
      <c r="E39" s="13" t="n"/>
    </row>
    <row r="40" ht="14.25" customHeight="1" s="33">
      <c r="A40" s="13" t="inlineStr">
        <is>
          <t>27/11/2025</t>
        </is>
      </c>
      <c r="B40" s="13" t="inlineStr">
        <is>
          <t>Farmacie Peppoloni Foligno</t>
        </is>
      </c>
      <c r="C40" s="11" t="n">
        <v>15</v>
      </c>
      <c r="D40" s="13" t="inlineStr">
        <is>
          <t>Banca</t>
        </is>
      </c>
      <c r="E40" s="13" t="n"/>
    </row>
    <row r="41" ht="14.25" customHeight="1" s="33">
      <c r="A41" s="13" t="inlineStr">
        <is>
          <t>08/01/2026</t>
        </is>
      </c>
      <c r="B41" s="13" t="inlineStr">
        <is>
          <t>Farmacia Bartoli SRL Foligno</t>
        </is>
      </c>
      <c r="C41" s="11" t="n">
        <v>5.9</v>
      </c>
      <c r="D41" s="13" t="inlineStr">
        <is>
          <t>Banca</t>
        </is>
      </c>
      <c r="E41" s="13" t="n"/>
    </row>
    <row r="42" ht="14.25" customHeight="1" s="33">
      <c r="A42" s="13" t="inlineStr">
        <is>
          <t>26/01/2026</t>
        </is>
      </c>
      <c r="B42" s="13" t="inlineStr">
        <is>
          <t>Farmacia San Vito (PayPal)</t>
        </is>
      </c>
      <c r="C42" s="11" t="n">
        <v>89.66</v>
      </c>
      <c r="D42" s="13" t="inlineStr">
        <is>
          <t>PayPal</t>
        </is>
      </c>
      <c r="E42" s="13" t="n"/>
    </row>
    <row r="43" ht="14.25" customHeight="1" s="33">
      <c r="A43" s="13" t="inlineStr">
        <is>
          <t>26/01/2026</t>
        </is>
      </c>
      <c r="B43" s="13" t="inlineStr">
        <is>
          <t>FarmaSave (PayPal)</t>
        </is>
      </c>
      <c r="C43" s="11" t="n">
        <v>79.18000000000001</v>
      </c>
      <c r="D43" s="13" t="inlineStr">
        <is>
          <t>PayPal</t>
        </is>
      </c>
      <c r="E43" s="13" t="n"/>
    </row>
    <row r="44" ht="14.25" customHeight="1" s="33">
      <c r="A44" s="9" t="inlineStr">
        <is>
          <t>TOTALE</t>
        </is>
      </c>
      <c r="B44" s="9" t="n"/>
      <c r="C44" s="10">
        <f>SUM(C33:C43)</f>
        <v/>
      </c>
      <c r="D44" s="9" t="n"/>
      <c r="E44" s="9" t="n"/>
    </row>
    <row r="45" ht="14.25" customHeight="1" s="33"/>
    <row r="46" ht="14.25" customHeight="1" s="33">
      <c r="A46" s="34" t="inlineStr">
        <is>
          <t>AUTO / TRASPORTI</t>
        </is>
      </c>
      <c r="B46" s="35" t="n"/>
      <c r="C46" s="35" t="n"/>
      <c r="D46" s="35" t="n"/>
      <c r="E46" s="36" t="n"/>
    </row>
    <row r="47" ht="14.25" customHeight="1" s="33">
      <c r="A47" s="5" t="inlineStr">
        <is>
          <t>Data</t>
        </is>
      </c>
      <c r="B47" s="5" t="inlineStr">
        <is>
          <t>Descrizione</t>
        </is>
      </c>
      <c r="C47" s="5" t="inlineStr">
        <is>
          <t>Importo</t>
        </is>
      </c>
      <c r="D47" s="5" t="inlineStr">
        <is>
          <t>Fonte</t>
        </is>
      </c>
      <c r="E47" s="5" t="inlineStr">
        <is>
          <t>Note</t>
        </is>
      </c>
    </row>
    <row r="48" ht="14.25" customHeight="1" s="33">
      <c r="A48" s="13" t="inlineStr">
        <is>
          <t>03/10/2025</t>
        </is>
      </c>
      <c r="B48" s="13" t="inlineStr">
        <is>
          <t>PE.SA. Gomme Perugia</t>
        </is>
      </c>
      <c r="C48" s="11" t="n">
        <v>15</v>
      </c>
      <c r="D48" s="13" t="inlineStr">
        <is>
          <t>Banca</t>
        </is>
      </c>
      <c r="E48" s="13" t="n"/>
    </row>
    <row r="49" ht="14.25" customHeight="1" s="33">
      <c r="A49" s="13" t="inlineStr">
        <is>
          <t>25/01/2026</t>
        </is>
      </c>
      <c r="B49" s="13" t="inlineStr">
        <is>
          <t>Tasse/bollo PagoPA</t>
        </is>
      </c>
      <c r="C49" s="11" t="n">
        <v>114.26</v>
      </c>
      <c r="D49" s="13" t="inlineStr">
        <is>
          <t>Banca</t>
        </is>
      </c>
      <c r="E49" s="13" t="n"/>
    </row>
    <row r="50" ht="14.25" customHeight="1" s="33">
      <c r="A50" s="13" t="inlineStr">
        <is>
          <t>27/01/2026</t>
        </is>
      </c>
      <c r="B50" s="13" t="inlineStr">
        <is>
          <t>Tasse/bollo PagoPA Banca Sella</t>
        </is>
      </c>
      <c r="C50" s="11" t="n">
        <v>144.52</v>
      </c>
      <c r="D50" s="13" t="inlineStr">
        <is>
          <t>Banca</t>
        </is>
      </c>
      <c r="E50" s="13" t="n"/>
    </row>
    <row r="51" ht="14.25" customHeight="1" s="33">
      <c r="A51" s="13" t="inlineStr">
        <is>
          <t>13/02/2026</t>
        </is>
      </c>
      <c r="B51" s="13" t="inlineStr">
        <is>
          <t>Autofficina Elettrauto Foligno</t>
        </is>
      </c>
      <c r="C51" s="11" t="n">
        <v>78.75</v>
      </c>
      <c r="D51" s="13" t="inlineStr">
        <is>
          <t>Banca</t>
        </is>
      </c>
      <c r="E51" s="13" t="n"/>
    </row>
    <row r="52" ht="14.25" customHeight="1" s="33">
      <c r="A52" s="9" t="inlineStr">
        <is>
          <t>TOTALE</t>
        </is>
      </c>
      <c r="B52" s="9" t="n"/>
      <c r="C52" s="10">
        <f>SUM(C48:C51)</f>
        <v/>
      </c>
      <c r="D52" s="9" t="n"/>
      <c r="E52" s="9" t="n"/>
    </row>
    <row r="53" ht="14.25" customHeight="1" s="33"/>
    <row r="54" ht="14.25" customHeight="1" s="33">
      <c r="A54" s="34" t="inlineStr">
        <is>
          <t>POKERINO / SKIPASS (personale)</t>
        </is>
      </c>
      <c r="B54" s="35" t="n"/>
      <c r="C54" s="35" t="n"/>
      <c r="D54" s="35" t="n"/>
      <c r="E54" s="36" t="n"/>
    </row>
    <row r="55" ht="14.25" customHeight="1" s="33">
      <c r="A55" s="5" t="inlineStr">
        <is>
          <t>Data</t>
        </is>
      </c>
      <c r="B55" s="5" t="inlineStr">
        <is>
          <t>Descrizione</t>
        </is>
      </c>
      <c r="C55" s="5" t="inlineStr">
        <is>
          <t>Importo</t>
        </is>
      </c>
      <c r="D55" s="5" t="inlineStr">
        <is>
          <t>Fonte</t>
        </is>
      </c>
      <c r="E55" s="5" t="inlineStr">
        <is>
          <t>Note</t>
        </is>
      </c>
    </row>
    <row r="56" ht="14.25" customHeight="1" s="33">
      <c r="A56" s="13" t="inlineStr">
        <is>
          <t>18/11/2025</t>
        </is>
      </c>
      <c r="B56" s="13" t="inlineStr">
        <is>
          <t>Pokerino Foligno</t>
        </is>
      </c>
      <c r="C56" s="11" t="n">
        <v>10.9</v>
      </c>
      <c r="D56" s="13" t="inlineStr">
        <is>
          <t>Banca</t>
        </is>
      </c>
      <c r="E56" s="13" t="n"/>
    </row>
    <row r="57" ht="14.25" customHeight="1" s="33">
      <c r="A57" s="13" t="inlineStr">
        <is>
          <t>23/01/2026</t>
        </is>
      </c>
      <c r="B57" s="13" t="inlineStr">
        <is>
          <t>Pokerino Foligno</t>
        </is>
      </c>
      <c r="C57" s="11" t="n">
        <v>11.4</v>
      </c>
      <c r="D57" s="13" t="inlineStr">
        <is>
          <t>Banca</t>
        </is>
      </c>
      <c r="E57" s="13" t="n"/>
    </row>
    <row r="58" ht="14.25" customHeight="1" s="33">
      <c r="A58" s="13" t="inlineStr">
        <is>
          <t>26/12/2025</t>
        </is>
      </c>
      <c r="B58" s="13" t="inlineStr">
        <is>
          <t>Skipass Maestri Sestola</t>
        </is>
      </c>
      <c r="C58" s="11" t="n">
        <v>45</v>
      </c>
      <c r="D58" s="13" t="inlineStr">
        <is>
          <t>Banca</t>
        </is>
      </c>
      <c r="E58" s="13" t="n"/>
    </row>
    <row r="59" ht="14.25" customHeight="1" s="33">
      <c r="A59" s="13" t="inlineStr">
        <is>
          <t>28/12/2025</t>
        </is>
      </c>
      <c r="B59" s="13" t="inlineStr">
        <is>
          <t>Skipass Maestri Sestola</t>
        </is>
      </c>
      <c r="C59" s="11" t="n">
        <v>45</v>
      </c>
      <c r="D59" s="13" t="inlineStr">
        <is>
          <t>Banca</t>
        </is>
      </c>
      <c r="E59" s="13" t="n"/>
    </row>
    <row r="60" ht="14.25" customHeight="1" s="33">
      <c r="A60" s="9" t="inlineStr">
        <is>
          <t>TOTALE</t>
        </is>
      </c>
      <c r="B60" s="9" t="n"/>
      <c r="C60" s="10">
        <f>SUM(C56:C59)</f>
        <v/>
      </c>
      <c r="D60" s="9" t="n"/>
      <c r="E60" s="9" t="n"/>
    </row>
    <row r="61" ht="14.25" customHeight="1" s="33"/>
    <row r="62" ht="14.25" customHeight="1" s="33">
      <c r="A62" s="34" t="inlineStr">
        <is>
          <t>ABBIGLIAMENTO / MODA</t>
        </is>
      </c>
      <c r="B62" s="35" t="n"/>
      <c r="C62" s="35" t="n"/>
      <c r="D62" s="35" t="n"/>
      <c r="E62" s="36" t="n"/>
    </row>
    <row r="63" ht="14.25" customHeight="1" s="33">
      <c r="A63" s="5" t="inlineStr">
        <is>
          <t>Data</t>
        </is>
      </c>
      <c r="B63" s="5" t="inlineStr">
        <is>
          <t>Descrizione</t>
        </is>
      </c>
      <c r="C63" s="5" t="inlineStr">
        <is>
          <t>Importo</t>
        </is>
      </c>
      <c r="D63" s="5" t="inlineStr">
        <is>
          <t>Fonte</t>
        </is>
      </c>
      <c r="E63" s="5" t="inlineStr">
        <is>
          <t>Note</t>
        </is>
      </c>
    </row>
    <row r="64" ht="14.25" customHeight="1" s="33">
      <c r="A64" s="13" t="inlineStr">
        <is>
          <t>03/10/2025</t>
        </is>
      </c>
      <c r="B64" s="13" t="inlineStr">
        <is>
          <t>SumUp Barbagangi vintage</t>
        </is>
      </c>
      <c r="C64" s="11" t="n">
        <v>19</v>
      </c>
      <c r="D64" s="13" t="inlineStr">
        <is>
          <t>Banca</t>
        </is>
      </c>
      <c r="E64" s="13" t="n"/>
    </row>
    <row r="65" ht="14.25" customHeight="1" s="33">
      <c r="A65" s="13" t="inlineStr">
        <is>
          <t>15/10/2025</t>
        </is>
      </c>
      <c r="B65" s="13" t="inlineStr">
        <is>
          <t>Vinted</t>
        </is>
      </c>
      <c r="C65" s="11" t="n">
        <v>45.95</v>
      </c>
      <c r="D65" s="13" t="inlineStr">
        <is>
          <t>Banca</t>
        </is>
      </c>
      <c r="E65" s="13" t="n"/>
    </row>
    <row r="66" ht="14.25" customHeight="1" s="33">
      <c r="A66" s="13" t="inlineStr">
        <is>
          <t>16/10/2025</t>
        </is>
      </c>
      <c r="B66" s="13" t="inlineStr">
        <is>
          <t>Vinted</t>
        </is>
      </c>
      <c r="C66" s="11" t="n">
        <v>29.94</v>
      </c>
      <c r="D66" s="13" t="inlineStr">
        <is>
          <t>Banca</t>
        </is>
      </c>
      <c r="E66" s="13" t="n"/>
    </row>
    <row r="67" ht="14.25" customHeight="1" s="33">
      <c r="A67" s="13" t="inlineStr">
        <is>
          <t>28/11/2025</t>
        </is>
      </c>
      <c r="B67" s="13" t="inlineStr">
        <is>
          <t>Decathlon Foligno</t>
        </is>
      </c>
      <c r="C67" s="11" t="n">
        <v>92.92</v>
      </c>
      <c r="D67" s="13" t="inlineStr">
        <is>
          <t>Banca</t>
        </is>
      </c>
      <c r="E67" s="13" t="n"/>
    </row>
    <row r="68" ht="14.25" customHeight="1" s="33">
      <c r="A68" s="13" t="inlineStr">
        <is>
          <t>11/12/2025</t>
        </is>
      </c>
      <c r="B68" s="13" t="inlineStr">
        <is>
          <t>Vinted</t>
        </is>
      </c>
      <c r="C68" s="11" t="n">
        <v>7.94</v>
      </c>
      <c r="D68" s="13" t="inlineStr">
        <is>
          <t>Banca</t>
        </is>
      </c>
      <c r="E68" s="13" t="n"/>
    </row>
    <row r="69" ht="14.25" customHeight="1" s="33">
      <c r="A69" s="13" t="inlineStr">
        <is>
          <t>14/11/2025</t>
        </is>
      </c>
      <c r="B69" s="13" t="inlineStr">
        <is>
          <t>SumUp Barbagangi</t>
        </is>
      </c>
      <c r="C69" s="11" t="n">
        <v>19</v>
      </c>
      <c r="D69" s="13" t="inlineStr">
        <is>
          <t>Banca</t>
        </is>
      </c>
      <c r="E69" s="13" t="n"/>
    </row>
    <row r="70" ht="14.25" customHeight="1" s="33">
      <c r="A70" s="13" t="inlineStr">
        <is>
          <t>24/12/2025</t>
        </is>
      </c>
      <c r="B70" s="13" t="inlineStr">
        <is>
          <t>Decathlon Foligno</t>
        </is>
      </c>
      <c r="C70" s="11" t="n">
        <v>141.95</v>
      </c>
      <c r="D70" s="13" t="inlineStr">
        <is>
          <t>Banca</t>
        </is>
      </c>
      <c r="E70" s="13" t="n"/>
    </row>
    <row r="71" ht="14.25" customHeight="1" s="33">
      <c r="A71" s="13" t="inlineStr">
        <is>
          <t>27/02/2026</t>
        </is>
      </c>
      <c r="B71" s="13" t="inlineStr">
        <is>
          <t>SumUp Barbagangi</t>
        </is>
      </c>
      <c r="C71" s="11" t="n">
        <v>19</v>
      </c>
      <c r="D71" s="13" t="inlineStr">
        <is>
          <t>Banca</t>
        </is>
      </c>
      <c r="E71" s="13" t="n"/>
    </row>
    <row r="72" ht="14.25" customHeight="1" s="33">
      <c r="A72" s="13" t="inlineStr">
        <is>
          <t>16/03/2026</t>
        </is>
      </c>
      <c r="B72" s="13" t="inlineStr">
        <is>
          <t>Globo Foligno</t>
        </is>
      </c>
      <c r="C72" s="11" t="n">
        <v>14.9</v>
      </c>
      <c r="D72" s="13" t="inlineStr">
        <is>
          <t>Banca</t>
        </is>
      </c>
      <c r="E72" s="13" t="n"/>
    </row>
    <row r="73" ht="14.25" customHeight="1" s="33">
      <c r="A73" s="13" t="inlineStr">
        <is>
          <t>25/02/2026</t>
        </is>
      </c>
      <c r="B73" s="13" t="inlineStr">
        <is>
          <t>SHEIN (PayPal)</t>
        </is>
      </c>
      <c r="C73" s="11" t="n">
        <v>43.81</v>
      </c>
      <c r="D73" s="13" t="inlineStr">
        <is>
          <t>PayPal</t>
        </is>
      </c>
      <c r="E73" s="13" t="n"/>
    </row>
    <row r="74" ht="14.25" customHeight="1" s="33">
      <c r="A74" s="13" t="inlineStr">
        <is>
          <t>04/11/2025</t>
        </is>
      </c>
      <c r="B74" s="13" t="inlineStr">
        <is>
          <t>Etsy</t>
        </is>
      </c>
      <c r="C74" s="11" t="n">
        <v>99.42</v>
      </c>
      <c r="D74" s="13" t="inlineStr">
        <is>
          <t>PayPal</t>
        </is>
      </c>
      <c r="E74" s="13" t="n"/>
    </row>
    <row r="75" ht="14.25" customHeight="1" s="33">
      <c r="A75" s="13" t="inlineStr">
        <is>
          <t>25/02/2026</t>
        </is>
      </c>
      <c r="B75" s="13" t="inlineStr">
        <is>
          <t>Etsy</t>
        </is>
      </c>
      <c r="C75" s="11" t="n">
        <v>43.75</v>
      </c>
      <c r="D75" s="13" t="inlineStr">
        <is>
          <t>PayPal</t>
        </is>
      </c>
      <c r="E75" s="13" t="n"/>
    </row>
    <row r="76" ht="14.25" customHeight="1" s="33">
      <c r="A76" s="9" t="inlineStr">
        <is>
          <t>TOTALE</t>
        </is>
      </c>
      <c r="B76" s="9" t="n"/>
      <c r="C76" s="10">
        <f>SUM(C64:C75)</f>
        <v/>
      </c>
      <c r="D76" s="9" t="n"/>
      <c r="E76" s="9" t="n"/>
    </row>
    <row r="77" ht="14.25" customHeight="1" s="33"/>
    <row r="78" ht="14.25" customHeight="1" s="33">
      <c r="A78" s="34" t="inlineStr">
        <is>
          <t>TECNOLOGIA / ELETTRONICA</t>
        </is>
      </c>
      <c r="B78" s="35" t="n"/>
      <c r="C78" s="35" t="n"/>
      <c r="D78" s="35" t="n"/>
      <c r="E78" s="36" t="n"/>
    </row>
    <row r="79" ht="14.25" customHeight="1" s="33">
      <c r="A79" s="5" t="inlineStr">
        <is>
          <t>Data</t>
        </is>
      </c>
      <c r="B79" s="5" t="inlineStr">
        <is>
          <t>Descrizione</t>
        </is>
      </c>
      <c r="C79" s="5" t="inlineStr">
        <is>
          <t>Importo</t>
        </is>
      </c>
      <c r="D79" s="5" t="inlineStr">
        <is>
          <t>Fonte</t>
        </is>
      </c>
      <c r="E79" s="5" t="inlineStr">
        <is>
          <t>Note</t>
        </is>
      </c>
    </row>
    <row r="80" ht="14.25" customHeight="1" s="33">
      <c r="A80" s="13" t="inlineStr">
        <is>
          <t>07/01/2026</t>
        </is>
      </c>
      <c r="B80" s="13" t="inlineStr">
        <is>
          <t>eBay acquisto</t>
        </is>
      </c>
      <c r="C80" s="11" t="n">
        <v>37.99</v>
      </c>
      <c r="D80" s="13" t="inlineStr">
        <is>
          <t>Banca</t>
        </is>
      </c>
      <c r="E80" s="13" t="n"/>
    </row>
    <row r="81" ht="14.25" customHeight="1" s="33">
      <c r="A81" s="13" t="inlineStr">
        <is>
          <t>18/01/2026</t>
        </is>
      </c>
      <c r="B81" s="13" t="inlineStr">
        <is>
          <t>Keychron tastiera (PayPal)</t>
        </is>
      </c>
      <c r="C81" s="11" t="n">
        <v>120.5</v>
      </c>
      <c r="D81" s="13" t="inlineStr">
        <is>
          <t>PayPal</t>
        </is>
      </c>
      <c r="E81" s="13" t="n"/>
    </row>
    <row r="82" ht="14.25" customHeight="1" s="33">
      <c r="A82" s="9" t="inlineStr">
        <is>
          <t>TOTALE</t>
        </is>
      </c>
      <c r="B82" s="9" t="n"/>
      <c r="C82" s="10">
        <f>SUM(C80:C81)</f>
        <v/>
      </c>
      <c r="D82" s="9" t="n"/>
      <c r="E82" s="9" t="n"/>
    </row>
    <row r="83" ht="14.25" customHeight="1" s="33"/>
    <row r="84" ht="14.25" customHeight="1" s="33">
      <c r="A84" s="34" t="inlineStr">
        <is>
          <t>ABBONAMENTI PERSONALI</t>
        </is>
      </c>
      <c r="B84" s="35" t="n"/>
      <c r="C84" s="35" t="n"/>
      <c r="D84" s="35" t="n"/>
      <c r="E84" s="36" t="n"/>
    </row>
    <row r="85" ht="14.25" customHeight="1" s="33">
      <c r="A85" s="5" t="inlineStr">
        <is>
          <t>Data</t>
        </is>
      </c>
      <c r="B85" s="5" t="inlineStr">
        <is>
          <t>Descrizione</t>
        </is>
      </c>
      <c r="C85" s="5" t="inlineStr">
        <is>
          <t>Importo</t>
        </is>
      </c>
      <c r="D85" s="5" t="inlineStr">
        <is>
          <t>Fonte</t>
        </is>
      </c>
      <c r="E85" s="5" t="inlineStr">
        <is>
          <t>Note</t>
        </is>
      </c>
    </row>
    <row r="86" ht="14.25" customHeight="1" s="33">
      <c r="A86" s="13" t="inlineStr">
        <is>
          <t>28/10/2025</t>
        </is>
      </c>
      <c r="B86" s="13" t="inlineStr">
        <is>
          <t>Vodafone</t>
        </is>
      </c>
      <c r="C86" s="11" t="n">
        <v>5</v>
      </c>
      <c r="D86" s="13" t="inlineStr">
        <is>
          <t>Banca</t>
        </is>
      </c>
      <c r="E86" s="13" t="n"/>
    </row>
    <row r="87" ht="14.25" customHeight="1" s="33">
      <c r="A87" s="13" t="inlineStr">
        <is>
          <t>27/11/2025</t>
        </is>
      </c>
      <c r="B87" s="13" t="inlineStr">
        <is>
          <t>Vodafone</t>
        </is>
      </c>
      <c r="C87" s="11" t="n">
        <v>5</v>
      </c>
      <c r="D87" s="13" t="inlineStr">
        <is>
          <t>Banca</t>
        </is>
      </c>
      <c r="E87" s="13" t="n"/>
    </row>
    <row r="88" ht="14.25" customHeight="1" s="33">
      <c r="A88" s="13" t="inlineStr">
        <is>
          <t>29/12/2025</t>
        </is>
      </c>
      <c r="B88" s="13" t="inlineStr">
        <is>
          <t>Vodafone</t>
        </is>
      </c>
      <c r="C88" s="11" t="n">
        <v>5</v>
      </c>
      <c r="D88" s="13" t="inlineStr">
        <is>
          <t>Banca</t>
        </is>
      </c>
      <c r="E88" s="13" t="n"/>
    </row>
    <row r="89" ht="14.25" customHeight="1" s="33">
      <c r="A89" s="13" t="inlineStr">
        <is>
          <t>29/01/2026</t>
        </is>
      </c>
      <c r="B89" s="13" t="inlineStr">
        <is>
          <t>Vodafone</t>
        </is>
      </c>
      <c r="C89" s="11" t="n">
        <v>5</v>
      </c>
      <c r="D89" s="13" t="inlineStr">
        <is>
          <t>Banca</t>
        </is>
      </c>
      <c r="E89" s="13" t="n"/>
    </row>
    <row r="90" ht="14.25" customHeight="1" s="33">
      <c r="A90" s="13" t="inlineStr">
        <is>
          <t>27/02/2026</t>
        </is>
      </c>
      <c r="B90" s="13" t="inlineStr">
        <is>
          <t>Fastweb</t>
        </is>
      </c>
      <c r="C90" s="11" t="n">
        <v>5</v>
      </c>
      <c r="D90" s="13" t="inlineStr">
        <is>
          <t>Banca</t>
        </is>
      </c>
      <c r="E90" s="13" t="n"/>
    </row>
    <row r="91" ht="14.25" customHeight="1" s="33">
      <c r="A91" s="13" t="inlineStr">
        <is>
          <t>30/03/2026</t>
        </is>
      </c>
      <c r="B91" s="13" t="inlineStr">
        <is>
          <t>Fastweb</t>
        </is>
      </c>
      <c r="C91" s="11" t="n">
        <v>5</v>
      </c>
      <c r="D91" s="13" t="inlineStr">
        <is>
          <t>Banca</t>
        </is>
      </c>
      <c r="E91" s="13" t="n"/>
    </row>
    <row r="92" ht="14.25" customHeight="1" s="33">
      <c r="A92" s="13" t="inlineStr">
        <is>
          <t>10/11/2025</t>
        </is>
      </c>
      <c r="B92" s="13" t="inlineStr">
        <is>
          <t>OpenAI ChatGPT</t>
        </is>
      </c>
      <c r="C92" s="11" t="n">
        <v>23</v>
      </c>
      <c r="D92" s="13" t="inlineStr">
        <is>
          <t>Banca</t>
        </is>
      </c>
      <c r="E92" s="13" t="n"/>
    </row>
    <row r="93" ht="14.25" customHeight="1" s="33">
      <c r="A93" s="13" t="inlineStr">
        <is>
          <t>21/11/2025</t>
        </is>
      </c>
      <c r="B93" s="13" t="inlineStr">
        <is>
          <t>Rimborso OpenAI</t>
        </is>
      </c>
      <c r="C93" s="11" t="n">
        <v>-15.59</v>
      </c>
      <c r="D93" s="13" t="inlineStr">
        <is>
          <t>Banca</t>
        </is>
      </c>
      <c r="E93" s="13" t="n"/>
    </row>
    <row r="94" ht="14.25" customHeight="1" s="33">
      <c r="A94" s="13" t="inlineStr">
        <is>
          <t>15/12/2025</t>
        </is>
      </c>
      <c r="B94" s="13" t="inlineStr">
        <is>
          <t>HO-Mobile.it</t>
        </is>
      </c>
      <c r="C94" s="11" t="n">
        <v>8.99</v>
      </c>
      <c r="D94" s="13" t="inlineStr">
        <is>
          <t>Banca</t>
        </is>
      </c>
      <c r="E94" s="13" t="n"/>
    </row>
    <row r="95" ht="14.25" customHeight="1" s="33">
      <c r="A95" s="13" t="inlineStr">
        <is>
          <t>13/03/2026</t>
        </is>
      </c>
      <c r="B95" s="13" t="inlineStr">
        <is>
          <t>HO-Mobile.it ricarica</t>
        </is>
      </c>
      <c r="C95" s="11" t="n">
        <v>5.95</v>
      </c>
      <c r="D95" s="13" t="inlineStr">
        <is>
          <t>Banca</t>
        </is>
      </c>
      <c r="E95" s="13" t="n"/>
    </row>
    <row r="96" ht="14.25" customHeight="1" s="33">
      <c r="A96" s="13" t="inlineStr">
        <is>
          <t>24/02/2026</t>
        </is>
      </c>
      <c r="B96" s="13" t="inlineStr">
        <is>
          <t>Windsurf IDE</t>
        </is>
      </c>
      <c r="C96" s="11" t="n">
        <v>15.59</v>
      </c>
      <c r="D96" s="13" t="inlineStr">
        <is>
          <t>Banca</t>
        </is>
      </c>
      <c r="E96" s="13" t="n"/>
    </row>
    <row r="97" ht="14.25" customHeight="1" s="33">
      <c r="A97" s="13" t="inlineStr">
        <is>
          <t>11/03/2026</t>
        </is>
      </c>
      <c r="B97" s="13" t="inlineStr">
        <is>
          <t>Windsurf IDE</t>
        </is>
      </c>
      <c r="C97" s="11" t="n">
        <v>8.640000000000001</v>
      </c>
      <c r="D97" s="13" t="inlineStr">
        <is>
          <t>Banca</t>
        </is>
      </c>
      <c r="E97" s="13" t="n"/>
    </row>
    <row r="98" ht="14.25" customHeight="1" s="33">
      <c r="A98" s="13" t="inlineStr">
        <is>
          <t>24/10/2025</t>
        </is>
      </c>
      <c r="B98" s="13" t="inlineStr">
        <is>
          <t>CoopVoce (PayPal)</t>
        </is>
      </c>
      <c r="C98" s="11" t="n">
        <v>14.9</v>
      </c>
      <c r="D98" s="13" t="inlineStr">
        <is>
          <t>PayPal</t>
        </is>
      </c>
      <c r="E98" s="13" t="n"/>
    </row>
    <row r="99" ht="14.25" customHeight="1" s="33">
      <c r="A99" s="13" t="inlineStr">
        <is>
          <t>29/01/2026</t>
        </is>
      </c>
      <c r="B99" s="13" t="inlineStr">
        <is>
          <t>Aruba hosting (PayPal)</t>
        </is>
      </c>
      <c r="C99" s="11" t="n">
        <v>6.1</v>
      </c>
      <c r="D99" s="13" t="inlineStr">
        <is>
          <t>PayPal</t>
        </is>
      </c>
      <c r="E99" s="13" t="n"/>
    </row>
    <row r="100" ht="14.25" customHeight="1" s="33">
      <c r="A100" s="13" t="inlineStr">
        <is>
          <t>09/11/2025</t>
        </is>
      </c>
      <c r="B100" s="13" t="inlineStr">
        <is>
          <t>Figma</t>
        </is>
      </c>
      <c r="C100" s="11" t="n">
        <v>24.4</v>
      </c>
      <c r="D100" s="13" t="inlineStr">
        <is>
          <t>Banca</t>
        </is>
      </c>
      <c r="E100" s="13" t="n"/>
    </row>
    <row r="101" ht="14.25" customHeight="1" s="33">
      <c r="A101" s="13" t="inlineStr">
        <is>
          <t>09/12/2025</t>
        </is>
      </c>
      <c r="B101" s="13" t="inlineStr">
        <is>
          <t>Figma</t>
        </is>
      </c>
      <c r="C101" s="11" t="n">
        <v>24.4</v>
      </c>
      <c r="D101" s="13" t="inlineStr">
        <is>
          <t>Banca</t>
        </is>
      </c>
      <c r="E101" s="13" t="n"/>
    </row>
    <row r="102" ht="14.25" customHeight="1" s="33">
      <c r="A102" s="13" t="inlineStr">
        <is>
          <t>25/01/2026</t>
        </is>
      </c>
      <c r="B102" s="13" t="inlineStr">
        <is>
          <t>Stripe Payments</t>
        </is>
      </c>
      <c r="C102" s="11" t="n">
        <v>19.22</v>
      </c>
      <c r="D102" s="13" t="inlineStr">
        <is>
          <t>Banca</t>
        </is>
      </c>
      <c r="E102" s="13" t="n"/>
    </row>
    <row r="103" ht="14.25" customHeight="1" s="33">
      <c r="A103" s="9" t="inlineStr">
        <is>
          <t>TOTALE</t>
        </is>
      </c>
      <c r="B103" s="9" t="n"/>
      <c r="C103" s="10">
        <f>SUM(C86:C102)</f>
        <v/>
      </c>
      <c r="D103" s="9" t="n"/>
      <c r="E103" s="9" t="n"/>
    </row>
    <row r="104" ht="14.25" customHeight="1" s="33"/>
    <row r="105" ht="14.25" customHeight="1" s="33">
      <c r="A105" s="34" t="inlineStr">
        <is>
          <t>PAYPAL - VITTORIO PENZO</t>
        </is>
      </c>
      <c r="B105" s="35" t="n"/>
      <c r="C105" s="35" t="n"/>
      <c r="D105" s="35" t="n"/>
      <c r="E105" s="36" t="n"/>
    </row>
    <row r="106" ht="14.25" customHeight="1" s="33">
      <c r="A106" s="5" t="inlineStr">
        <is>
          <t>Data</t>
        </is>
      </c>
      <c r="B106" s="5" t="inlineStr">
        <is>
          <t>Descrizione</t>
        </is>
      </c>
      <c r="C106" s="5" t="inlineStr">
        <is>
          <t>Importo</t>
        </is>
      </c>
      <c r="D106" s="5" t="inlineStr">
        <is>
          <t>Fonte</t>
        </is>
      </c>
      <c r="E106" s="5" t="inlineStr">
        <is>
          <t>Note</t>
        </is>
      </c>
    </row>
    <row r="107" ht="14.25" customHeight="1" s="33">
      <c r="A107" s="13" t="inlineStr">
        <is>
          <t>19/09/2025</t>
        </is>
      </c>
      <c r="B107" s="13" t="inlineStr">
        <is>
          <t>Vittorio Penzo</t>
        </is>
      </c>
      <c r="C107" s="11" t="n">
        <v>60</v>
      </c>
      <c r="D107" s="13" t="inlineStr">
        <is>
          <t>PayPal</t>
        </is>
      </c>
      <c r="E107" s="13" t="n"/>
    </row>
    <row r="108" ht="14.25" customHeight="1" s="33">
      <c r="A108" s="13" t="inlineStr">
        <is>
          <t>25/09/2025</t>
        </is>
      </c>
      <c r="B108" s="13" t="inlineStr">
        <is>
          <t>Vittorio Penzo</t>
        </is>
      </c>
      <c r="C108" s="11" t="n">
        <v>63</v>
      </c>
      <c r="D108" s="13" t="inlineStr">
        <is>
          <t>PayPal</t>
        </is>
      </c>
      <c r="E108" s="13" t="n"/>
    </row>
    <row r="109" ht="14.25" customHeight="1" s="33">
      <c r="A109" s="13" t="inlineStr">
        <is>
          <t>29/09/2025</t>
        </is>
      </c>
      <c r="B109" s="13" t="inlineStr">
        <is>
          <t>Vittorio Penzo</t>
        </is>
      </c>
      <c r="C109" s="11" t="n">
        <v>63</v>
      </c>
      <c r="D109" s="13" t="inlineStr">
        <is>
          <t>PayPal</t>
        </is>
      </c>
      <c r="E109" s="13" t="n"/>
    </row>
    <row r="110" ht="14.25" customHeight="1" s="33">
      <c r="A110" s="13" t="inlineStr">
        <is>
          <t>27/10/2025</t>
        </is>
      </c>
      <c r="B110" s="13" t="inlineStr">
        <is>
          <t>Vittorio Penzo</t>
        </is>
      </c>
      <c r="C110" s="11" t="n">
        <v>63</v>
      </c>
      <c r="D110" s="13" t="inlineStr">
        <is>
          <t>PayPal</t>
        </is>
      </c>
      <c r="E110" s="13" t="n"/>
    </row>
    <row r="111" ht="14.25" customHeight="1" s="33">
      <c r="A111" s="13" t="inlineStr">
        <is>
          <t>04/11/2025</t>
        </is>
      </c>
      <c r="B111" s="13" t="inlineStr">
        <is>
          <t>Vittorio Penzo</t>
        </is>
      </c>
      <c r="C111" s="11" t="n">
        <v>60</v>
      </c>
      <c r="D111" s="13" t="inlineStr">
        <is>
          <t>PayPal</t>
        </is>
      </c>
      <c r="E111" s="13" t="n"/>
    </row>
    <row r="112" ht="14.25" customHeight="1" s="33">
      <c r="A112" s="13" t="inlineStr">
        <is>
          <t>17/11/2025</t>
        </is>
      </c>
      <c r="B112" s="13" t="inlineStr">
        <is>
          <t>Vittorio Penzo</t>
        </is>
      </c>
      <c r="C112" s="11" t="n">
        <v>60</v>
      </c>
      <c r="D112" s="13" t="inlineStr">
        <is>
          <t>PayPal</t>
        </is>
      </c>
      <c r="E112" s="13" t="n"/>
    </row>
    <row r="113" ht="14.25" customHeight="1" s="33">
      <c r="A113" s="13" t="inlineStr">
        <is>
          <t>01/12/2025</t>
        </is>
      </c>
      <c r="B113" s="13" t="inlineStr">
        <is>
          <t>Vittorio Penzo</t>
        </is>
      </c>
      <c r="C113" s="11" t="n">
        <v>60</v>
      </c>
      <c r="D113" s="13" t="inlineStr">
        <is>
          <t>PayPal</t>
        </is>
      </c>
      <c r="E113" s="13" t="n"/>
    </row>
    <row r="114" ht="14.25" customHeight="1" s="33">
      <c r="A114" s="13" t="inlineStr">
        <is>
          <t>26/01/2026</t>
        </is>
      </c>
      <c r="B114" s="13" t="inlineStr">
        <is>
          <t>Vittorio Penzo</t>
        </is>
      </c>
      <c r="C114" s="11" t="n">
        <v>63</v>
      </c>
      <c r="D114" s="13" t="inlineStr">
        <is>
          <t>PayPal</t>
        </is>
      </c>
      <c r="E114" s="13" t="n"/>
    </row>
    <row r="115" ht="14.25" customHeight="1" s="33">
      <c r="A115" s="9" t="inlineStr">
        <is>
          <t>TOTALE</t>
        </is>
      </c>
      <c r="B115" s="9" t="n"/>
      <c r="C115" s="10">
        <f>SUM(C107:C114)</f>
        <v/>
      </c>
      <c r="D115" s="9" t="n"/>
      <c r="E115" s="9" t="n"/>
    </row>
    <row r="116" ht="14.25" customHeight="1" s="33"/>
    <row r="117" ht="14.25" customHeight="1" s="33">
      <c r="A117" s="34" t="inlineStr">
        <is>
          <t>PAYPAL - ALTRI (personale)</t>
        </is>
      </c>
      <c r="B117" s="35" t="n"/>
      <c r="C117" s="35" t="n"/>
      <c r="D117" s="35" t="n"/>
      <c r="E117" s="36" t="n"/>
    </row>
    <row r="118" ht="14.25" customHeight="1" s="33">
      <c r="A118" s="5" t="inlineStr">
        <is>
          <t>Data</t>
        </is>
      </c>
      <c r="B118" s="5" t="inlineStr">
        <is>
          <t>Descrizione</t>
        </is>
      </c>
      <c r="C118" s="5" t="inlineStr">
        <is>
          <t>Importo</t>
        </is>
      </c>
      <c r="D118" s="5" t="inlineStr">
        <is>
          <t>Fonte</t>
        </is>
      </c>
      <c r="E118" s="5" t="inlineStr">
        <is>
          <t>Note</t>
        </is>
      </c>
    </row>
    <row r="119" ht="14.25" customHeight="1" s="33">
      <c r="A119" s="13" t="inlineStr">
        <is>
          <t>22/10/2025</t>
        </is>
      </c>
      <c r="B119" s="13" t="inlineStr">
        <is>
          <t>Valentina Arrigoni</t>
        </is>
      </c>
      <c r="C119" s="11" t="n">
        <v>215</v>
      </c>
      <c r="D119" s="13" t="inlineStr">
        <is>
          <t>PayPal</t>
        </is>
      </c>
      <c r="E119" s="13" t="n"/>
    </row>
    <row r="120" ht="14.25" customHeight="1" s="33">
      <c r="A120" s="13" t="inlineStr">
        <is>
          <t>30/10/2025</t>
        </is>
      </c>
      <c r="B120" s="13" t="inlineStr">
        <is>
          <t>United Parcel Service spedizione</t>
        </is>
      </c>
      <c r="C120" s="11" t="n">
        <v>15.14</v>
      </c>
      <c r="D120" s="13" t="inlineStr">
        <is>
          <t>PayPal</t>
        </is>
      </c>
      <c r="E120" s="13" t="n"/>
    </row>
    <row r="121" ht="14.25" customHeight="1" s="33">
      <c r="A121" s="13" t="inlineStr">
        <is>
          <t>04/10/2025</t>
        </is>
      </c>
      <c r="B121" s="13" t="inlineStr">
        <is>
          <t>Antonio Di Giorgio</t>
        </is>
      </c>
      <c r="C121" s="11" t="n">
        <v>22</v>
      </c>
      <c r="D121" s="13" t="inlineStr">
        <is>
          <t>PayPal</t>
        </is>
      </c>
      <c r="E121" s="13" t="n"/>
    </row>
    <row r="122" ht="14.25" customHeight="1" s="33">
      <c r="A122" s="9" t="inlineStr">
        <is>
          <t>TOTALE</t>
        </is>
      </c>
      <c r="B122" s="9" t="n"/>
      <c r="C122" s="10">
        <f>SUM(C119:C121)</f>
        <v/>
      </c>
      <c r="D122" s="9" t="n"/>
      <c r="E122" s="9" t="n"/>
    </row>
    <row r="123" ht="14.25" customHeight="1" s="33"/>
    <row r="124" ht="14.25" customHeight="1" s="33">
      <c r="A124" s="34" t="inlineStr">
        <is>
          <t>ALTRO PERSONALE</t>
        </is>
      </c>
      <c r="B124" s="35" t="n"/>
      <c r="C124" s="35" t="n"/>
      <c r="D124" s="35" t="n"/>
      <c r="E124" s="36" t="n"/>
    </row>
    <row r="125" ht="14.25" customHeight="1" s="33">
      <c r="A125" s="5" t="inlineStr">
        <is>
          <t>Data</t>
        </is>
      </c>
      <c r="B125" s="5" t="inlineStr">
        <is>
          <t>Descrizione</t>
        </is>
      </c>
      <c r="C125" s="5" t="inlineStr">
        <is>
          <t>Importo</t>
        </is>
      </c>
      <c r="D125" s="5" t="inlineStr">
        <is>
          <t>Fonte</t>
        </is>
      </c>
      <c r="E125" s="5" t="inlineStr">
        <is>
          <t>Note</t>
        </is>
      </c>
    </row>
    <row r="126" ht="14.25" customHeight="1" s="33">
      <c r="A126" s="13" t="inlineStr">
        <is>
          <t>01/11/2025</t>
        </is>
      </c>
      <c r="B126" s="13" t="inlineStr">
        <is>
          <t>OTO Tabacchi Perugia</t>
        </is>
      </c>
      <c r="C126" s="11" t="n">
        <v>1.6</v>
      </c>
      <c r="D126" s="13" t="inlineStr">
        <is>
          <t>Banca</t>
        </is>
      </c>
      <c r="E126" s="13" t="n"/>
    </row>
    <row r="127" ht="14.25" customHeight="1" s="33">
      <c r="A127" s="13" t="inlineStr">
        <is>
          <t>26/11/2025</t>
        </is>
      </c>
      <c r="B127" s="13" t="inlineStr">
        <is>
          <t>Kiwii (bonifico)</t>
        </is>
      </c>
      <c r="C127" s="11" t="n">
        <v>65</v>
      </c>
      <c r="D127" s="13" t="inlineStr">
        <is>
          <t>Banca</t>
        </is>
      </c>
      <c r="E127" s="13" t="n"/>
    </row>
    <row r="128" ht="14.25" customHeight="1" s="33">
      <c r="A128" s="13" t="inlineStr">
        <is>
          <t>27/11/2025</t>
        </is>
      </c>
      <c r="B128" s="13" t="inlineStr">
        <is>
          <t>4640 (bonifico)</t>
        </is>
      </c>
      <c r="C128" s="11" t="n">
        <v>100</v>
      </c>
      <c r="D128" s="13" t="inlineStr">
        <is>
          <t>Banca</t>
        </is>
      </c>
      <c r="E128" s="13" t="n"/>
    </row>
    <row r="129" ht="14.25" customHeight="1" s="33">
      <c r="A129" s="13" t="inlineStr">
        <is>
          <t>20/11/2025</t>
        </is>
      </c>
      <c r="B129" s="13" t="inlineStr">
        <is>
          <t>Ordine 95945290 (bonifico)</t>
        </is>
      </c>
      <c r="C129" s="11" t="n">
        <v>287.1</v>
      </c>
      <c r="D129" s="13" t="inlineStr">
        <is>
          <t>Banca</t>
        </is>
      </c>
      <c r="E129" s="13" t="n"/>
    </row>
    <row r="130" ht="14.25" customHeight="1" s="33">
      <c r="A130" s="13" t="inlineStr">
        <is>
          <t>10/02/2026</t>
        </is>
      </c>
      <c r="B130" s="13" t="inlineStr">
        <is>
          <t>Bonifico 539363</t>
        </is>
      </c>
      <c r="C130" s="11" t="n">
        <v>230.68</v>
      </c>
      <c r="D130" s="13" t="inlineStr">
        <is>
          <t>Banca</t>
        </is>
      </c>
      <c r="E130" s="13" t="n"/>
    </row>
    <row r="131" ht="14.25" customHeight="1" s="33">
      <c r="A131" s="13" t="inlineStr">
        <is>
          <t>23/02/2026</t>
        </is>
      </c>
      <c r="B131" s="13" t="inlineStr">
        <is>
          <t>Rimborso bici</t>
        </is>
      </c>
      <c r="C131" s="11" t="n">
        <v>110</v>
      </c>
      <c r="D131" s="13" t="inlineStr">
        <is>
          <t>Banca</t>
        </is>
      </c>
      <c r="E131" s="13" t="n"/>
    </row>
    <row r="132" ht="14.25" customHeight="1" s="33">
      <c r="A132" s="13" t="inlineStr">
        <is>
          <t>09/03/2026</t>
        </is>
      </c>
      <c r="B132" s="13" t="inlineStr">
        <is>
          <t>Rimborso bici</t>
        </is>
      </c>
      <c r="C132" s="11" t="n">
        <v>110</v>
      </c>
      <c r="D132" s="13" t="inlineStr">
        <is>
          <t>Banca</t>
        </is>
      </c>
      <c r="E132" s="13" t="n"/>
    </row>
    <row r="133" ht="14.25" customHeight="1" s="33">
      <c r="A133" s="13" t="inlineStr">
        <is>
          <t>12/03/2026</t>
        </is>
      </c>
      <c r="B133" s="13" t="inlineStr">
        <is>
          <t>Bonifico 89822019</t>
        </is>
      </c>
      <c r="C133" s="11" t="n">
        <v>76.47</v>
      </c>
      <c r="D133" s="13" t="inlineStr">
        <is>
          <t>Banca</t>
        </is>
      </c>
      <c r="E133" s="13" t="n"/>
    </row>
    <row r="134" ht="14.25" customHeight="1" s="33">
      <c r="A134" s="13" t="inlineStr">
        <is>
          <t>02/04/2026</t>
        </is>
      </c>
      <c r="B134" s="13" t="inlineStr">
        <is>
          <t>Google Cloud</t>
        </is>
      </c>
      <c r="C134" s="11" t="n">
        <v>0.18</v>
      </c>
      <c r="D134" s="13" t="inlineStr">
        <is>
          <t>Screenshot</t>
        </is>
      </c>
      <c r="E134" s="13" t="n"/>
    </row>
    <row r="135" ht="14.25" customHeight="1" s="33">
      <c r="A135" s="13" t="inlineStr">
        <is>
          <t>10/10/2025</t>
        </is>
      </c>
      <c r="B135" s="13" t="inlineStr">
        <is>
          <t>Rimborso amazon (bonifico)</t>
        </is>
      </c>
      <c r="C135" s="11" t="n">
        <v>-52</v>
      </c>
      <c r="D135" s="13" t="inlineStr">
        <is>
          <t>Banca</t>
        </is>
      </c>
      <c r="E135" s="13" t="n"/>
    </row>
    <row r="136" ht="14.25" customHeight="1" s="33">
      <c r="A136" s="13" t="inlineStr">
        <is>
          <t>24/10/2025</t>
        </is>
      </c>
      <c r="B136" s="13" t="inlineStr">
        <is>
          <t>Rimborso amazon (bonifico)</t>
        </is>
      </c>
      <c r="C136" s="11" t="n">
        <v>-74.5</v>
      </c>
      <c r="D136" s="13" t="inlineStr">
        <is>
          <t>Banca</t>
        </is>
      </c>
      <c r="E136" s="13" t="n"/>
    </row>
    <row r="137" ht="14.25" customHeight="1" s="33">
      <c r="A137" s="13" t="inlineStr">
        <is>
          <t>13/02/2026</t>
        </is>
      </c>
      <c r="B137" s="13" t="inlineStr">
        <is>
          <t>Rimborso amazon (bonifico)</t>
        </is>
      </c>
      <c r="C137" s="11" t="n">
        <v>-22.5</v>
      </c>
      <c r="D137" s="13" t="inlineStr">
        <is>
          <t>Banca</t>
        </is>
      </c>
      <c r="E137" s="13" t="n"/>
    </row>
    <row r="138" ht="14.25" customHeight="1" s="33">
      <c r="A138" s="13" t="inlineStr">
        <is>
          <t>22/02/2026</t>
        </is>
      </c>
      <c r="B138" s="13" t="inlineStr">
        <is>
          <t>+LT.3 (bonifico)</t>
        </is>
      </c>
      <c r="C138" s="11" t="n">
        <v>50</v>
      </c>
      <c r="D138" s="13" t="inlineStr">
        <is>
          <t>Banca</t>
        </is>
      </c>
      <c r="E138" s="13" t="n"/>
    </row>
    <row r="139" ht="14.25" customHeight="1" s="33">
      <c r="A139" s="13" t="inlineStr">
        <is>
          <t>04/02/2026</t>
        </is>
      </c>
      <c r="B139" s="13" t="inlineStr">
        <is>
          <t>La Regina di Fiori (fiori)</t>
        </is>
      </c>
      <c r="C139" s="11" t="n">
        <v>25</v>
      </c>
      <c r="D139" s="13" t="inlineStr">
        <is>
          <t>Banca</t>
        </is>
      </c>
      <c r="E139" s="8" t="n"/>
      <c r="F139" s="13" t="n"/>
    </row>
    <row r="140" ht="14.25" customHeight="1" s="33">
      <c r="A140" s="13" t="inlineStr">
        <is>
          <t>17/12/2025</t>
        </is>
      </c>
      <c r="B140" s="13" t="inlineStr">
        <is>
          <t>Dainauto S.A.S. Foligno</t>
        </is>
      </c>
      <c r="C140" s="11" t="n">
        <v>40</v>
      </c>
      <c r="D140" s="13" t="inlineStr">
        <is>
          <t>Banca</t>
        </is>
      </c>
      <c r="E140" s="8" t="n"/>
      <c r="F140" s="13" t="n"/>
    </row>
    <row r="141" ht="14.25" customHeight="1" s="33">
      <c r="A141" s="9" t="inlineStr">
        <is>
          <t>TOTALE</t>
        </is>
      </c>
      <c r="B141" s="9" t="n"/>
      <c r="C141" s="10">
        <f>SUM(C126:C140)</f>
        <v/>
      </c>
      <c r="D141" s="9" t="n"/>
      <c r="E141" s="9" t="n"/>
    </row>
    <row r="142" ht="14.25" customHeight="1" s="33"/>
    <row r="143" ht="14.25" customHeight="1" s="33"/>
    <row r="144" ht="14.25" customHeight="1" s="33">
      <c r="A144" s="14" t="inlineStr">
        <is>
          <t>TOTALE SPESE PERSONALI ALEX</t>
        </is>
      </c>
      <c r="C144" s="15">
        <f>C6+C29+C44+C52+C60+C76+C82+C103+C115+C122+C141</f>
        <v/>
      </c>
    </row>
    <row r="145" ht="14.25" customHeight="1" s="33"/>
    <row r="146" ht="14.25" customHeight="1" s="33"/>
    <row r="147" ht="14.25" customHeight="1" s="33"/>
    <row r="148" ht="14.25" customHeight="1" s="33"/>
    <row r="149" ht="14.25" customHeight="1" s="33"/>
    <row r="150" ht="14.25" customHeight="1" s="33"/>
    <row r="151" ht="14.25" customHeight="1" s="33"/>
    <row r="152" ht="14.25" customHeight="1" s="33"/>
    <row r="153" ht="14.25" customHeight="1" s="33"/>
    <row r="154" ht="14.25" customHeight="1" s="33"/>
    <row r="155" ht="14.25" customHeight="1" s="33"/>
    <row r="156" ht="14.25" customHeight="1" s="33"/>
    <row r="157" ht="14.25" customHeight="1" s="33"/>
    <row r="158" ht="14.25" customHeight="1" s="33"/>
    <row r="159" ht="14.25" customHeight="1" s="33"/>
    <row r="160" ht="14.25" customHeight="1" s="33"/>
    <row r="161" ht="14.25" customHeight="1" s="33"/>
    <row r="162" ht="14.25" customHeight="1" s="33"/>
    <row r="163" ht="14.25" customHeight="1" s="33"/>
    <row r="164" ht="14.25" customHeight="1" s="33"/>
    <row r="165" ht="14.25" customHeight="1" s="33"/>
    <row r="166" ht="14.25" customHeight="1" s="33"/>
    <row r="167" ht="14.25" customHeight="1" s="33"/>
    <row r="168" ht="14.25" customHeight="1" s="33"/>
    <row r="169" ht="14.25" customHeight="1" s="33"/>
    <row r="170" ht="14.25" customHeight="1" s="33"/>
    <row r="171" ht="14.25" customHeight="1" s="33"/>
    <row r="172" ht="14.25" customHeight="1" s="33"/>
    <row r="173" ht="14.25" customHeight="1" s="33"/>
    <row r="174" ht="14.25" customHeight="1" s="33"/>
    <row r="175" ht="14.25" customHeight="1" s="33"/>
    <row r="176" ht="14.25" customHeight="1" s="33"/>
    <row r="177" ht="14.25" customHeight="1" s="33"/>
    <row r="178" ht="14.25" customHeight="1" s="33"/>
    <row r="179" ht="14.25" customHeight="1" s="33"/>
    <row r="180" ht="14.25" customHeight="1" s="33"/>
    <row r="181" ht="14.25" customHeight="1" s="33"/>
    <row r="182" ht="14.25" customHeight="1" s="33"/>
    <row r="183" ht="14.25" customHeight="1" s="33"/>
    <row r="184" ht="14.25" customHeight="1" s="33"/>
    <row r="185" ht="14.25" customHeight="1" s="33"/>
    <row r="186" ht="14.25" customHeight="1" s="33"/>
    <row r="187" ht="14.25" customHeight="1" s="33"/>
    <row r="188" ht="14.25" customHeight="1" s="33"/>
    <row r="189" ht="14.25" customHeight="1" s="33"/>
    <row r="190" ht="14.25" customHeight="1" s="33"/>
    <row r="191" ht="14.25" customHeight="1" s="33"/>
    <row r="192" ht="14.25" customHeight="1" s="33"/>
    <row r="193" ht="14.25" customHeight="1" s="33"/>
    <row r="194" ht="14.25" customHeight="1" s="33"/>
    <row r="195" ht="14.25" customHeight="1" s="33"/>
    <row r="196" ht="14.25" customHeight="1" s="33"/>
    <row r="197" ht="14.25" customHeight="1" s="33"/>
    <row r="198" ht="14.25" customHeight="1" s="33"/>
    <row r="199" ht="14.25" customHeight="1" s="33"/>
    <row r="200" ht="14.25" customHeight="1" s="33"/>
    <row r="201" ht="14.25" customHeight="1" s="33"/>
    <row r="202" ht="14.25" customHeight="1" s="33"/>
    <row r="203" ht="14.25" customHeight="1" s="33"/>
    <row r="204" ht="14.25" customHeight="1" s="33"/>
    <row r="205" ht="14.25" customHeight="1" s="33"/>
    <row r="206" ht="14.25" customHeight="1" s="33"/>
    <row r="207" ht="14.25" customHeight="1" s="33"/>
    <row r="208" ht="14.25" customHeight="1" s="33"/>
    <row r="209" ht="14.25" customHeight="1" s="33"/>
    <row r="210" ht="14.25" customHeight="1" s="33"/>
    <row r="211" ht="14.25" customHeight="1" s="33"/>
    <row r="212" ht="14.25" customHeight="1" s="33"/>
    <row r="213" ht="14.25" customHeight="1" s="33"/>
    <row r="214" ht="14.25" customHeight="1" s="33"/>
    <row r="215" ht="14.25" customHeight="1" s="33"/>
    <row r="216" ht="14.25" customHeight="1" s="33"/>
    <row r="217" ht="14.25" customHeight="1" s="33"/>
    <row r="218" ht="14.25" customHeight="1" s="33"/>
    <row r="219" ht="14.25" customHeight="1" s="33"/>
    <row r="220" ht="14.25" customHeight="1" s="33"/>
    <row r="221" ht="14.25" customHeight="1" s="33"/>
    <row r="222" ht="14.25" customHeight="1" s="33"/>
    <row r="223" ht="14.25" customHeight="1" s="33"/>
    <row r="224" ht="14.25" customHeight="1" s="33"/>
    <row r="225" ht="14.25" customHeight="1" s="33"/>
    <row r="226" ht="14.25" customHeight="1" s="33"/>
    <row r="227" ht="14.25" customHeight="1" s="33"/>
    <row r="228" ht="14.25" customHeight="1" s="33"/>
    <row r="229" ht="14.25" customHeight="1" s="33"/>
    <row r="230" ht="14.25" customHeight="1" s="33"/>
    <row r="231" ht="14.25" customHeight="1" s="33"/>
    <row r="232" ht="14.25" customHeight="1" s="33"/>
    <row r="233" ht="14.25" customHeight="1" s="33"/>
    <row r="234" ht="14.25" customHeight="1" s="33"/>
    <row r="235" ht="14.25" customHeight="1" s="33"/>
    <row r="236" ht="14.25" customHeight="1" s="33"/>
    <row r="237" ht="14.25" customHeight="1" s="33"/>
    <row r="238" ht="14.25" customHeight="1" s="33"/>
    <row r="239" ht="14.25" customHeight="1" s="33"/>
    <row r="240" ht="14.25" customHeight="1" s="33"/>
    <row r="241" ht="14.25" customHeight="1" s="33"/>
    <row r="242" ht="14.25" customHeight="1" s="33"/>
    <row r="243" ht="14.25" customHeight="1" s="33"/>
    <row r="244" ht="14.25" customHeight="1" s="33"/>
    <row r="245" ht="14.25" customHeight="1" s="33"/>
    <row r="246" ht="14.25" customHeight="1" s="33"/>
    <row r="247" ht="14.25" customHeight="1" s="33"/>
    <row r="248" ht="14.25" customHeight="1" s="33"/>
    <row r="249" ht="14.25" customHeight="1" s="33"/>
    <row r="250" ht="14.25" customHeight="1" s="33"/>
    <row r="251" ht="14.25" customHeight="1" s="33"/>
    <row r="252" ht="14.25" customHeight="1" s="33"/>
    <row r="253" ht="14.25" customHeight="1" s="33"/>
    <row r="254" ht="14.25" customHeight="1" s="33"/>
    <row r="255" ht="14.25" customHeight="1" s="33"/>
    <row r="256" ht="14.25" customHeight="1" s="33"/>
    <row r="257" ht="14.25" customHeight="1" s="33"/>
    <row r="258" ht="14.25" customHeight="1" s="33"/>
    <row r="259" ht="14.25" customHeight="1" s="33"/>
    <row r="260" ht="14.25" customHeight="1" s="33"/>
    <row r="261" ht="14.25" customHeight="1" s="33"/>
    <row r="262" ht="14.25" customHeight="1" s="33"/>
    <row r="263" ht="14.25" customHeight="1" s="33"/>
    <row r="264" ht="14.25" customHeight="1" s="33"/>
    <row r="265" ht="14.25" customHeight="1" s="33"/>
    <row r="266" ht="14.25" customHeight="1" s="33"/>
    <row r="267" ht="14.25" customHeight="1" s="33"/>
    <row r="268" ht="14.25" customHeight="1" s="33"/>
    <row r="269" ht="14.25" customHeight="1" s="33"/>
    <row r="270" ht="14.25" customHeight="1" s="33"/>
    <row r="271" ht="14.25" customHeight="1" s="33"/>
    <row r="272" ht="14.25" customHeight="1" s="33"/>
    <row r="273" ht="14.25" customHeight="1" s="33"/>
    <row r="274" ht="14.25" customHeight="1" s="33"/>
    <row r="275" ht="14.25" customHeight="1" s="33"/>
    <row r="276" ht="14.25" customHeight="1" s="33"/>
    <row r="277" ht="14.25" customHeight="1" s="33"/>
    <row r="278" ht="14.25" customHeight="1" s="33"/>
    <row r="279" ht="14.25" customHeight="1" s="33"/>
    <row r="280" ht="14.25" customHeight="1" s="33"/>
    <row r="281" ht="14.25" customHeight="1" s="33"/>
    <row r="282" ht="14.25" customHeight="1" s="33"/>
    <row r="283" ht="14.25" customHeight="1" s="33"/>
    <row r="284" ht="14.25" customHeight="1" s="33"/>
    <row r="285" ht="14.25" customHeight="1" s="33"/>
    <row r="286" ht="14.25" customHeight="1" s="33"/>
    <row r="287" ht="14.25" customHeight="1" s="33"/>
    <row r="288" ht="14.25" customHeight="1" s="33"/>
    <row r="289" ht="14.25" customHeight="1" s="33"/>
    <row r="290" ht="14.25" customHeight="1" s="33"/>
    <row r="291" ht="14.25" customHeight="1" s="33"/>
    <row r="292" ht="14.25" customHeight="1" s="33"/>
    <row r="293" ht="14.25" customHeight="1" s="33"/>
    <row r="294" ht="14.25" customHeight="1" s="33"/>
    <row r="295" ht="14.25" customHeight="1" s="33"/>
    <row r="296" ht="14.25" customHeight="1" s="33"/>
    <row r="297" ht="14.25" customHeight="1" s="33"/>
    <row r="298" ht="14.25" customHeight="1" s="33"/>
    <row r="299" ht="14.25" customHeight="1" s="33"/>
    <row r="300" ht="14.25" customHeight="1" s="33"/>
    <row r="301" ht="14.25" customHeight="1" s="33"/>
    <row r="302" ht="14.25" customHeight="1" s="33"/>
    <row r="303" ht="14.25" customHeight="1" s="33"/>
    <row r="304" ht="14.25" customHeight="1" s="33"/>
    <row r="305" ht="14.25" customHeight="1" s="33"/>
    <row r="306" ht="14.25" customHeight="1" s="33"/>
    <row r="307" ht="14.25" customHeight="1" s="33"/>
    <row r="308" ht="14.25" customHeight="1" s="33"/>
    <row r="309" ht="14.25" customHeight="1" s="33"/>
    <row r="310" ht="14.25" customHeight="1" s="33"/>
    <row r="311" ht="14.25" customHeight="1" s="33"/>
    <row r="312" ht="14.25" customHeight="1" s="33"/>
    <row r="313" ht="14.25" customHeight="1" s="33"/>
    <row r="314" ht="14.25" customHeight="1" s="33"/>
    <row r="315" ht="14.25" customHeight="1" s="33"/>
    <row r="316" ht="14.25" customHeight="1" s="33"/>
    <row r="317" ht="14.25" customHeight="1" s="33"/>
    <row r="318" ht="14.25" customHeight="1" s="33"/>
    <row r="319" ht="14.25" customHeight="1" s="33"/>
    <row r="320" ht="14.25" customHeight="1" s="33"/>
    <row r="321" ht="14.25" customHeight="1" s="33"/>
    <row r="322" ht="14.25" customHeight="1" s="33"/>
    <row r="323" ht="14.25" customHeight="1" s="33"/>
    <row r="324" ht="14.25" customHeight="1" s="33"/>
    <row r="325" ht="14.25" customHeight="1" s="33"/>
    <row r="326" ht="14.25" customHeight="1" s="33"/>
    <row r="327" ht="14.25" customHeight="1" s="33"/>
    <row r="328" ht="14.25" customHeight="1" s="33"/>
    <row r="329" ht="14.25" customHeight="1" s="33"/>
    <row r="330" ht="14.25" customHeight="1" s="33"/>
    <row r="331" ht="14.25" customHeight="1" s="33"/>
    <row r="332" ht="14.25" customHeight="1" s="33"/>
    <row r="333" ht="14.25" customHeight="1" s="33"/>
    <row r="334" ht="14.25" customHeight="1" s="33"/>
    <row r="335" ht="14.25" customHeight="1" s="33"/>
    <row r="336" ht="14.25" customHeight="1" s="33"/>
    <row r="337" ht="14.25" customHeight="1" s="33"/>
    <row r="338" ht="14.25" customHeight="1" s="33"/>
    <row r="339" ht="14.25" customHeight="1" s="33"/>
    <row r="340" ht="14.25" customHeight="1" s="33"/>
    <row r="341" ht="14.25" customHeight="1" s="33"/>
    <row r="342" ht="14.25" customHeight="1" s="33"/>
    <row r="343" ht="14.25" customHeight="1" s="33"/>
    <row r="344" ht="14.25" customHeight="1" s="33"/>
    <row r="345" ht="14.25" customHeight="1" s="33"/>
    <row r="346" ht="14.25" customHeight="1" s="33"/>
    <row r="347" ht="14.25" customHeight="1" s="33"/>
    <row r="348" ht="14.25" customHeight="1" s="33"/>
    <row r="349" ht="14.25" customHeight="1" s="33"/>
    <row r="350" ht="14.25" customHeight="1" s="33"/>
    <row r="351" ht="14.25" customHeight="1" s="33"/>
    <row r="352" ht="14.25" customHeight="1" s="33"/>
    <row r="353" ht="14.25" customHeight="1" s="33"/>
    <row r="354" ht="14.25" customHeight="1" s="33"/>
    <row r="355" ht="14.25" customHeight="1" s="33"/>
    <row r="356" ht="14.25" customHeight="1" s="33"/>
    <row r="357" ht="14.25" customHeight="1" s="33"/>
    <row r="358" ht="14.25" customHeight="1" s="33"/>
    <row r="359" ht="14.25" customHeight="1" s="33"/>
    <row r="360" ht="14.25" customHeight="1" s="33"/>
    <row r="361" ht="14.25" customHeight="1" s="33"/>
    <row r="362" ht="14.25" customHeight="1" s="33"/>
    <row r="363" ht="14.25" customHeight="1" s="33"/>
    <row r="364" ht="14.25" customHeight="1" s="33"/>
    <row r="365" ht="14.25" customHeight="1" s="33"/>
    <row r="366" ht="14.25" customHeight="1" s="33"/>
    <row r="367" ht="14.25" customHeight="1" s="33"/>
    <row r="368" ht="14.25" customHeight="1" s="33"/>
    <row r="369" ht="14.25" customHeight="1" s="33"/>
    <row r="370" ht="14.25" customHeight="1" s="33"/>
    <row r="371" ht="14.25" customHeight="1" s="33"/>
    <row r="372" ht="14.25" customHeight="1" s="33"/>
    <row r="373" ht="14.25" customHeight="1" s="33"/>
    <row r="374" ht="14.25" customHeight="1" s="33"/>
    <row r="375" ht="14.25" customHeight="1" s="33"/>
    <row r="376" ht="14.25" customHeight="1" s="33"/>
    <row r="377" ht="14.25" customHeight="1" s="33"/>
    <row r="378" ht="14.25" customHeight="1" s="33"/>
    <row r="379" ht="14.25" customHeight="1" s="33"/>
    <row r="380" ht="14.25" customHeight="1" s="33"/>
    <row r="381" ht="14.25" customHeight="1" s="33"/>
    <row r="382" ht="14.25" customHeight="1" s="33"/>
    <row r="383" ht="14.25" customHeight="1" s="33"/>
    <row r="384" ht="14.25" customHeight="1" s="33"/>
    <row r="385" ht="14.25" customHeight="1" s="33"/>
    <row r="386" ht="14.25" customHeight="1" s="33"/>
    <row r="387" ht="14.25" customHeight="1" s="33"/>
    <row r="388" ht="14.25" customHeight="1" s="33"/>
    <row r="389" ht="14.25" customHeight="1" s="33"/>
    <row r="390" ht="14.25" customHeight="1" s="33"/>
    <row r="391" ht="14.25" customHeight="1" s="33"/>
    <row r="392" ht="14.25" customHeight="1" s="33"/>
    <row r="393" ht="14.25" customHeight="1" s="33"/>
    <row r="394" ht="14.25" customHeight="1" s="33"/>
    <row r="395" ht="14.25" customHeight="1" s="33"/>
    <row r="396" ht="14.25" customHeight="1" s="33"/>
    <row r="397" ht="14.25" customHeight="1" s="33"/>
    <row r="398" ht="14.25" customHeight="1" s="33"/>
    <row r="399" ht="14.25" customHeight="1" s="33"/>
    <row r="400" ht="14.25" customHeight="1" s="33"/>
    <row r="401" ht="14.25" customHeight="1" s="33"/>
    <row r="402" ht="14.25" customHeight="1" s="33"/>
    <row r="403" ht="14.25" customHeight="1" s="33"/>
    <row r="404" ht="14.25" customHeight="1" s="33"/>
    <row r="405" ht="14.25" customHeight="1" s="33"/>
    <row r="406" ht="14.25" customHeight="1" s="33"/>
    <row r="407" ht="14.25" customHeight="1" s="33"/>
    <row r="408" ht="14.25" customHeight="1" s="33"/>
    <row r="409" ht="14.25" customHeight="1" s="33"/>
    <row r="410" ht="14.25" customHeight="1" s="33"/>
    <row r="411" ht="14.25" customHeight="1" s="33"/>
    <row r="412" ht="14.25" customHeight="1" s="33"/>
    <row r="413" ht="14.25" customHeight="1" s="33"/>
    <row r="414" ht="14.25" customHeight="1" s="33"/>
    <row r="415" ht="14.25" customHeight="1" s="33"/>
    <row r="416" ht="14.25" customHeight="1" s="33"/>
    <row r="417" ht="14.25" customHeight="1" s="33"/>
    <row r="418" ht="14.25" customHeight="1" s="33"/>
    <row r="419" ht="14.25" customHeight="1" s="33"/>
    <row r="420" ht="14.25" customHeight="1" s="33"/>
    <row r="421" ht="14.25" customHeight="1" s="33"/>
    <row r="422" ht="14.25" customHeight="1" s="33"/>
    <row r="423" ht="14.25" customHeight="1" s="33"/>
    <row r="424" ht="14.25" customHeight="1" s="33"/>
    <row r="425" ht="14.25" customHeight="1" s="33"/>
    <row r="426" ht="14.25" customHeight="1" s="33"/>
    <row r="427" ht="14.25" customHeight="1" s="33"/>
    <row r="428" ht="14.25" customHeight="1" s="33"/>
    <row r="429" ht="14.25" customHeight="1" s="33"/>
    <row r="430" ht="14.25" customHeight="1" s="33"/>
    <row r="431" ht="14.25" customHeight="1" s="33"/>
    <row r="432" ht="14.25" customHeight="1" s="33"/>
    <row r="433" ht="14.25" customHeight="1" s="33"/>
    <row r="434" ht="14.25" customHeight="1" s="33"/>
    <row r="435" ht="14.25" customHeight="1" s="33"/>
    <row r="436" ht="14.25" customHeight="1" s="33"/>
    <row r="437" ht="14.25" customHeight="1" s="33"/>
    <row r="438" ht="14.25" customHeight="1" s="33"/>
    <row r="439" ht="14.25" customHeight="1" s="33"/>
    <row r="440" ht="14.25" customHeight="1" s="33"/>
    <row r="441" ht="14.25" customHeight="1" s="33"/>
    <row r="442" ht="14.25" customHeight="1" s="33"/>
    <row r="443" ht="14.25" customHeight="1" s="33"/>
    <row r="444" ht="14.25" customHeight="1" s="33"/>
    <row r="445" ht="14.25" customHeight="1" s="33"/>
    <row r="446" ht="14.25" customHeight="1" s="33"/>
    <row r="447" ht="14.25" customHeight="1" s="33"/>
    <row r="448" ht="14.25" customHeight="1" s="33"/>
    <row r="449" ht="14.25" customHeight="1" s="33"/>
    <row r="450" ht="14.25" customHeight="1" s="33"/>
    <row r="451" ht="14.25" customHeight="1" s="33"/>
    <row r="452" ht="14.25" customHeight="1" s="33"/>
    <row r="453" ht="14.25" customHeight="1" s="33"/>
    <row r="454" ht="14.25" customHeight="1" s="33"/>
    <row r="455" ht="14.25" customHeight="1" s="33"/>
    <row r="456" ht="14.25" customHeight="1" s="33"/>
    <row r="457" ht="14.25" customHeight="1" s="33"/>
    <row r="458" ht="14.25" customHeight="1" s="33"/>
    <row r="459" ht="14.25" customHeight="1" s="33"/>
    <row r="460" ht="14.25" customHeight="1" s="33"/>
    <row r="461" ht="14.25" customHeight="1" s="33"/>
    <row r="462" ht="14.25" customHeight="1" s="33"/>
    <row r="463" ht="14.25" customHeight="1" s="33"/>
    <row r="464" ht="14.25" customHeight="1" s="33"/>
    <row r="465" ht="14.25" customHeight="1" s="33"/>
    <row r="466" ht="14.25" customHeight="1" s="33"/>
    <row r="467" ht="14.25" customHeight="1" s="33"/>
    <row r="468" ht="14.25" customHeight="1" s="33"/>
    <row r="469" ht="14.25" customHeight="1" s="33"/>
    <row r="470" ht="14.25" customHeight="1" s="33"/>
    <row r="471" ht="14.25" customHeight="1" s="33"/>
    <row r="472" ht="14.25" customHeight="1" s="33"/>
    <row r="473" ht="14.25" customHeight="1" s="33"/>
    <row r="474" ht="14.25" customHeight="1" s="33"/>
    <row r="475" ht="14.25" customHeight="1" s="33"/>
    <row r="476" ht="14.25" customHeight="1" s="33"/>
    <row r="477" ht="14.25" customHeight="1" s="33"/>
    <row r="478" ht="14.25" customHeight="1" s="33"/>
    <row r="479" ht="14.25" customHeight="1" s="33"/>
    <row r="480" ht="14.25" customHeight="1" s="33"/>
    <row r="481" ht="14.25" customHeight="1" s="33"/>
    <row r="482" ht="14.25" customHeight="1" s="33"/>
    <row r="483" ht="14.25" customHeight="1" s="33"/>
    <row r="484" ht="14.25" customHeight="1" s="33"/>
    <row r="485" ht="14.25" customHeight="1" s="33"/>
    <row r="486" ht="14.25" customHeight="1" s="33"/>
    <row r="487" ht="14.25" customHeight="1" s="33"/>
    <row r="488" ht="14.25" customHeight="1" s="33"/>
    <row r="489" ht="14.25" customHeight="1" s="33"/>
    <row r="490" ht="14.25" customHeight="1" s="33"/>
    <row r="491" ht="14.25" customHeight="1" s="33"/>
    <row r="492" ht="14.25" customHeight="1" s="33"/>
    <row r="493" ht="14.25" customHeight="1" s="33"/>
    <row r="494" ht="14.25" customHeight="1" s="33"/>
    <row r="495" ht="14.25" customHeight="1" s="33"/>
    <row r="496" ht="14.25" customHeight="1" s="33"/>
    <row r="497" ht="14.25" customHeight="1" s="33"/>
    <row r="498" ht="14.25" customHeight="1" s="33"/>
    <row r="499" ht="14.25" customHeight="1" s="33"/>
    <row r="500" ht="14.25" customHeight="1" s="33"/>
    <row r="501" ht="14.25" customHeight="1" s="33"/>
    <row r="502" ht="14.25" customHeight="1" s="33"/>
    <row r="503" ht="14.25" customHeight="1" s="33"/>
    <row r="504" ht="14.25" customHeight="1" s="33"/>
    <row r="505" ht="14.25" customHeight="1" s="33"/>
    <row r="506" ht="14.25" customHeight="1" s="33"/>
    <row r="507" ht="14.25" customHeight="1" s="33"/>
    <row r="508" ht="14.25" customHeight="1" s="33"/>
    <row r="509" ht="14.25" customHeight="1" s="33"/>
    <row r="510" ht="14.25" customHeight="1" s="33"/>
    <row r="511" ht="14.25" customHeight="1" s="33"/>
    <row r="512" ht="14.25" customHeight="1" s="33"/>
    <row r="513" ht="14.25" customHeight="1" s="33"/>
    <row r="514" ht="14.25" customHeight="1" s="33"/>
    <row r="515" ht="14.25" customHeight="1" s="33"/>
    <row r="516" ht="14.25" customHeight="1" s="33"/>
    <row r="517" ht="14.25" customHeight="1" s="33"/>
    <row r="518" ht="14.25" customHeight="1" s="33"/>
    <row r="519" ht="14.25" customHeight="1" s="33"/>
    <row r="520" ht="14.25" customHeight="1" s="33"/>
    <row r="521" ht="14.25" customHeight="1" s="33"/>
    <row r="522" ht="14.25" customHeight="1" s="33"/>
    <row r="523" ht="14.25" customHeight="1" s="33"/>
    <row r="524" ht="14.25" customHeight="1" s="33"/>
    <row r="525" ht="14.25" customHeight="1" s="33"/>
    <row r="526" ht="14.25" customHeight="1" s="33"/>
    <row r="527" ht="14.25" customHeight="1" s="33"/>
    <row r="528" ht="14.25" customHeight="1" s="33"/>
    <row r="529" ht="14.25" customHeight="1" s="33"/>
    <row r="530" ht="14.25" customHeight="1" s="33"/>
    <row r="531" ht="14.25" customHeight="1" s="33"/>
    <row r="532" ht="14.25" customHeight="1" s="33"/>
    <row r="533" ht="14.25" customHeight="1" s="33"/>
    <row r="534" ht="14.25" customHeight="1" s="33"/>
    <row r="535" ht="14.25" customHeight="1" s="33"/>
    <row r="536" ht="14.25" customHeight="1" s="33"/>
    <row r="537" ht="14.25" customHeight="1" s="33"/>
    <row r="538" ht="14.25" customHeight="1" s="33"/>
    <row r="539" ht="14.25" customHeight="1" s="33"/>
    <row r="540" ht="14.25" customHeight="1" s="33"/>
    <row r="541" ht="14.25" customHeight="1" s="33"/>
    <row r="542" ht="14.25" customHeight="1" s="33"/>
    <row r="543" ht="14.25" customHeight="1" s="33"/>
    <row r="544" ht="14.25" customHeight="1" s="33"/>
    <row r="545" ht="14.25" customHeight="1" s="33"/>
    <row r="546" ht="14.25" customHeight="1" s="33"/>
    <row r="547" ht="14.25" customHeight="1" s="33"/>
    <row r="548" ht="14.25" customHeight="1" s="33"/>
    <row r="549" ht="14.25" customHeight="1" s="33"/>
    <row r="550" ht="14.25" customHeight="1" s="33"/>
    <row r="551" ht="14.25" customHeight="1" s="33"/>
    <row r="552" ht="14.25" customHeight="1" s="33"/>
    <row r="553" ht="14.25" customHeight="1" s="33"/>
    <row r="554" ht="14.25" customHeight="1" s="33"/>
    <row r="555" ht="14.25" customHeight="1" s="33"/>
    <row r="556" ht="14.25" customHeight="1" s="33"/>
    <row r="557" ht="14.25" customHeight="1" s="33"/>
    <row r="558" ht="14.25" customHeight="1" s="33"/>
    <row r="559" ht="14.25" customHeight="1" s="33"/>
    <row r="560" ht="14.25" customHeight="1" s="33"/>
    <row r="561" ht="14.25" customHeight="1" s="33"/>
    <row r="562" ht="14.25" customHeight="1" s="33"/>
    <row r="563" ht="14.25" customHeight="1" s="33"/>
    <row r="564" ht="14.25" customHeight="1" s="33"/>
    <row r="565" ht="14.25" customHeight="1" s="33"/>
    <row r="566" ht="14.25" customHeight="1" s="33"/>
    <row r="567" ht="14.25" customHeight="1" s="33"/>
    <row r="568" ht="14.25" customHeight="1" s="33"/>
    <row r="569" ht="14.25" customHeight="1" s="33"/>
    <row r="570" ht="14.25" customHeight="1" s="33"/>
    <row r="571" ht="14.25" customHeight="1" s="33"/>
    <row r="572" ht="14.25" customHeight="1" s="33"/>
    <row r="573" ht="14.25" customHeight="1" s="33"/>
    <row r="574" ht="14.25" customHeight="1" s="33"/>
    <row r="575" ht="14.25" customHeight="1" s="33"/>
    <row r="576" ht="14.25" customHeight="1" s="33"/>
    <row r="577" ht="14.25" customHeight="1" s="33"/>
    <row r="578" ht="14.25" customHeight="1" s="33"/>
    <row r="579" ht="14.25" customHeight="1" s="33"/>
    <row r="580" ht="14.25" customHeight="1" s="33"/>
    <row r="581" ht="14.25" customHeight="1" s="33"/>
    <row r="582" ht="14.25" customHeight="1" s="33"/>
    <row r="583" ht="14.25" customHeight="1" s="33"/>
    <row r="584" ht="14.25" customHeight="1" s="33"/>
    <row r="585" ht="14.25" customHeight="1" s="33"/>
    <row r="586" ht="14.25" customHeight="1" s="33"/>
    <row r="587" ht="14.25" customHeight="1" s="33"/>
    <row r="588" ht="14.25" customHeight="1" s="33"/>
    <row r="589" ht="14.25" customHeight="1" s="33"/>
    <row r="590" ht="14.25" customHeight="1" s="33"/>
    <row r="591" ht="14.25" customHeight="1" s="33"/>
    <row r="592" ht="14.25" customHeight="1" s="33"/>
    <row r="593" ht="14.25" customHeight="1" s="33"/>
    <row r="594" ht="14.25" customHeight="1" s="33"/>
    <row r="595" ht="14.25" customHeight="1" s="33"/>
    <row r="596" ht="14.25" customHeight="1" s="33"/>
    <row r="597" ht="14.25" customHeight="1" s="33"/>
    <row r="598" ht="14.25" customHeight="1" s="33"/>
    <row r="599" ht="14.25" customHeight="1" s="33"/>
    <row r="600" ht="14.25" customHeight="1" s="33"/>
    <row r="601" ht="14.25" customHeight="1" s="33"/>
    <row r="602" ht="14.25" customHeight="1" s="33"/>
    <row r="603" ht="14.25" customHeight="1" s="33"/>
    <row r="604" ht="14.25" customHeight="1" s="33"/>
    <row r="605" ht="14.25" customHeight="1" s="33"/>
    <row r="606" ht="14.25" customHeight="1" s="33"/>
    <row r="607" ht="14.25" customHeight="1" s="33"/>
    <row r="608" ht="14.25" customHeight="1" s="33"/>
    <row r="609" ht="14.25" customHeight="1" s="33"/>
    <row r="610" ht="14.25" customHeight="1" s="33"/>
    <row r="611" ht="14.25" customHeight="1" s="33"/>
    <row r="612" ht="14.25" customHeight="1" s="33"/>
    <row r="613" ht="14.25" customHeight="1" s="33"/>
    <row r="614" ht="14.25" customHeight="1" s="33"/>
    <row r="615" ht="14.25" customHeight="1" s="33"/>
    <row r="616" ht="14.25" customHeight="1" s="33"/>
    <row r="617" ht="14.25" customHeight="1" s="33"/>
    <row r="618" ht="14.25" customHeight="1" s="33"/>
    <row r="619" ht="14.25" customHeight="1" s="33"/>
    <row r="620" ht="14.25" customHeight="1" s="33"/>
    <row r="621" ht="14.25" customHeight="1" s="33"/>
    <row r="622" ht="14.25" customHeight="1" s="33"/>
    <row r="623" ht="14.25" customHeight="1" s="33"/>
    <row r="624" ht="14.25" customHeight="1" s="33"/>
    <row r="625" ht="14.25" customHeight="1" s="33"/>
    <row r="626" ht="14.25" customHeight="1" s="33"/>
    <row r="627" ht="14.25" customHeight="1" s="33"/>
    <row r="628" ht="14.25" customHeight="1" s="33"/>
    <row r="629" ht="14.25" customHeight="1" s="33"/>
    <row r="630" ht="14.25" customHeight="1" s="33"/>
    <row r="631" ht="14.25" customHeight="1" s="33"/>
    <row r="632" ht="14.25" customHeight="1" s="33"/>
    <row r="633" ht="14.25" customHeight="1" s="33"/>
    <row r="634" ht="14.25" customHeight="1" s="33"/>
    <row r="635" ht="14.25" customHeight="1" s="33"/>
    <row r="636" ht="14.25" customHeight="1" s="33"/>
    <row r="637" ht="14.25" customHeight="1" s="33"/>
    <row r="638" ht="14.25" customHeight="1" s="33"/>
    <row r="639" ht="14.25" customHeight="1" s="33"/>
    <row r="640" ht="14.25" customHeight="1" s="33"/>
    <row r="641" ht="14.25" customHeight="1" s="33"/>
    <row r="642" ht="14.25" customHeight="1" s="33"/>
    <row r="643" ht="14.25" customHeight="1" s="33"/>
    <row r="644" ht="14.25" customHeight="1" s="33"/>
    <row r="645" ht="14.25" customHeight="1" s="33"/>
    <row r="646" ht="14.25" customHeight="1" s="33"/>
    <row r="647" ht="14.25" customHeight="1" s="33"/>
    <row r="648" ht="14.25" customHeight="1" s="33"/>
    <row r="649" ht="14.25" customHeight="1" s="33"/>
    <row r="650" ht="14.25" customHeight="1" s="33"/>
    <row r="651" ht="14.25" customHeight="1" s="33"/>
    <row r="652" ht="14.25" customHeight="1" s="33"/>
    <row r="653" ht="14.25" customHeight="1" s="33"/>
    <row r="654" ht="14.25" customHeight="1" s="33"/>
    <row r="655" ht="14.25" customHeight="1" s="33"/>
    <row r="656" ht="14.25" customHeight="1" s="33"/>
    <row r="657" ht="14.25" customHeight="1" s="33"/>
    <row r="658" ht="14.25" customHeight="1" s="33"/>
    <row r="659" ht="14.25" customHeight="1" s="33"/>
    <row r="660" ht="14.25" customHeight="1" s="33"/>
    <row r="661" ht="14.25" customHeight="1" s="33"/>
    <row r="662" ht="14.25" customHeight="1" s="33"/>
    <row r="663" ht="14.25" customHeight="1" s="33"/>
    <row r="664" ht="14.25" customHeight="1" s="33"/>
    <row r="665" ht="14.25" customHeight="1" s="33"/>
    <row r="666" ht="14.25" customHeight="1" s="33"/>
    <row r="667" ht="14.25" customHeight="1" s="33"/>
    <row r="668" ht="14.25" customHeight="1" s="33"/>
    <row r="669" ht="14.25" customHeight="1" s="33"/>
    <row r="670" ht="14.25" customHeight="1" s="33"/>
    <row r="671" ht="14.25" customHeight="1" s="33"/>
    <row r="672" ht="14.25" customHeight="1" s="33"/>
    <row r="673" ht="14.25" customHeight="1" s="33"/>
    <row r="674" ht="14.25" customHeight="1" s="33"/>
    <row r="675" ht="14.25" customHeight="1" s="33"/>
    <row r="676" ht="14.25" customHeight="1" s="33"/>
    <row r="677" ht="14.25" customHeight="1" s="33"/>
    <row r="678" ht="14.25" customHeight="1" s="33"/>
    <row r="679" ht="14.25" customHeight="1" s="33"/>
    <row r="680" ht="14.25" customHeight="1" s="33"/>
    <row r="681" ht="14.25" customHeight="1" s="33"/>
    <row r="682" ht="14.25" customHeight="1" s="33"/>
    <row r="683" ht="14.25" customHeight="1" s="33"/>
    <row r="684" ht="14.25" customHeight="1" s="33"/>
    <row r="685" ht="14.25" customHeight="1" s="33"/>
    <row r="686" ht="14.25" customHeight="1" s="33"/>
    <row r="687" ht="14.25" customHeight="1" s="33"/>
    <row r="688" ht="14.25" customHeight="1" s="33"/>
    <row r="689" ht="14.25" customHeight="1" s="33"/>
    <row r="690" ht="14.25" customHeight="1" s="33"/>
    <row r="691" ht="14.25" customHeight="1" s="33"/>
    <row r="692" ht="14.25" customHeight="1" s="33"/>
    <row r="693" ht="14.25" customHeight="1" s="33"/>
    <row r="694" ht="14.25" customHeight="1" s="33"/>
    <row r="695" ht="14.25" customHeight="1" s="33"/>
    <row r="696" ht="14.25" customHeight="1" s="33"/>
    <row r="697" ht="14.25" customHeight="1" s="33"/>
    <row r="698" ht="14.25" customHeight="1" s="33"/>
    <row r="699" ht="14.25" customHeight="1" s="33"/>
    <row r="700" ht="14.25" customHeight="1" s="33"/>
    <row r="701" ht="14.25" customHeight="1" s="33"/>
    <row r="702" ht="14.25" customHeight="1" s="33"/>
    <row r="703" ht="14.25" customHeight="1" s="33"/>
    <row r="704" ht="14.25" customHeight="1" s="33"/>
    <row r="705" ht="14.25" customHeight="1" s="33"/>
    <row r="706" ht="14.25" customHeight="1" s="33"/>
    <row r="707" ht="14.25" customHeight="1" s="33"/>
    <row r="708" ht="14.25" customHeight="1" s="33"/>
    <row r="709" ht="14.25" customHeight="1" s="33"/>
    <row r="710" ht="14.25" customHeight="1" s="33"/>
    <row r="711" ht="14.25" customHeight="1" s="33"/>
    <row r="712" ht="14.25" customHeight="1" s="33"/>
    <row r="713" ht="14.25" customHeight="1" s="33"/>
    <row r="714" ht="14.25" customHeight="1" s="33"/>
    <row r="715" ht="14.25" customHeight="1" s="33"/>
    <row r="716" ht="14.25" customHeight="1" s="33"/>
    <row r="717" ht="14.25" customHeight="1" s="33"/>
    <row r="718" ht="14.25" customHeight="1" s="33"/>
    <row r="719" ht="14.25" customHeight="1" s="33"/>
    <row r="720" ht="14.25" customHeight="1" s="33"/>
    <row r="721" ht="14.25" customHeight="1" s="33"/>
    <row r="722" ht="14.25" customHeight="1" s="33"/>
    <row r="723" ht="14.25" customHeight="1" s="33"/>
    <row r="724" ht="14.25" customHeight="1" s="33"/>
    <row r="725" ht="14.25" customHeight="1" s="33"/>
    <row r="726" ht="14.25" customHeight="1" s="33"/>
    <row r="727" ht="14.25" customHeight="1" s="33"/>
    <row r="728" ht="14.25" customHeight="1" s="33"/>
    <row r="729" ht="14.25" customHeight="1" s="33"/>
    <row r="730" ht="14.25" customHeight="1" s="33"/>
    <row r="731" ht="14.25" customHeight="1" s="33"/>
    <row r="732" ht="14.25" customHeight="1" s="33"/>
    <row r="733" ht="14.25" customHeight="1" s="33"/>
    <row r="734" ht="14.25" customHeight="1" s="33"/>
    <row r="735" ht="14.25" customHeight="1" s="33"/>
    <row r="736" ht="14.25" customHeight="1" s="33"/>
    <row r="737" ht="14.25" customHeight="1" s="33"/>
    <row r="738" ht="14.25" customHeight="1" s="33"/>
    <row r="739" ht="14.25" customHeight="1" s="33"/>
    <row r="740" ht="14.25" customHeight="1" s="33"/>
    <row r="741" ht="14.25" customHeight="1" s="33"/>
    <row r="742" ht="14.25" customHeight="1" s="33"/>
    <row r="743" ht="14.25" customHeight="1" s="33"/>
    <row r="744" ht="14.25" customHeight="1" s="33"/>
    <row r="745" ht="14.25" customHeight="1" s="33"/>
    <row r="746" ht="14.25" customHeight="1" s="33"/>
    <row r="747" ht="14.25" customHeight="1" s="33"/>
    <row r="748" ht="14.25" customHeight="1" s="33"/>
    <row r="749" ht="14.25" customHeight="1" s="33"/>
    <row r="750" ht="14.25" customHeight="1" s="33"/>
    <row r="751" ht="14.25" customHeight="1" s="33"/>
    <row r="752" ht="14.25" customHeight="1" s="33"/>
    <row r="753" ht="14.25" customHeight="1" s="33"/>
    <row r="754" ht="14.25" customHeight="1" s="33"/>
    <row r="755" ht="14.25" customHeight="1" s="33"/>
    <row r="756" ht="14.25" customHeight="1" s="33"/>
    <row r="757" ht="14.25" customHeight="1" s="33"/>
    <row r="758" ht="14.25" customHeight="1" s="33"/>
    <row r="759" ht="14.25" customHeight="1" s="33"/>
    <row r="760" ht="14.25" customHeight="1" s="33"/>
    <row r="761" ht="14.25" customHeight="1" s="33"/>
    <row r="762" ht="14.25" customHeight="1" s="33"/>
    <row r="763" ht="14.25" customHeight="1" s="33"/>
    <row r="764" ht="14.25" customHeight="1" s="33"/>
    <row r="765" ht="14.25" customHeight="1" s="33"/>
    <row r="766" ht="14.25" customHeight="1" s="33"/>
    <row r="767" ht="14.25" customHeight="1" s="33"/>
    <row r="768" ht="14.25" customHeight="1" s="33"/>
    <row r="769" ht="14.25" customHeight="1" s="33"/>
    <row r="770" ht="14.25" customHeight="1" s="33"/>
    <row r="771" ht="14.25" customHeight="1" s="33"/>
    <row r="772" ht="14.25" customHeight="1" s="33"/>
    <row r="773" ht="14.25" customHeight="1" s="33"/>
    <row r="774" ht="14.25" customHeight="1" s="33"/>
    <row r="775" ht="14.25" customHeight="1" s="33"/>
    <row r="776" ht="14.25" customHeight="1" s="33"/>
    <row r="777" ht="14.25" customHeight="1" s="33"/>
    <row r="778" ht="14.25" customHeight="1" s="33"/>
    <row r="779" ht="14.25" customHeight="1" s="33"/>
    <row r="780" ht="14.25" customHeight="1" s="33"/>
    <row r="781" ht="14.25" customHeight="1" s="33"/>
    <row r="782" ht="14.25" customHeight="1" s="33"/>
    <row r="783" ht="14.25" customHeight="1" s="33"/>
    <row r="784" ht="14.25" customHeight="1" s="33"/>
    <row r="785" ht="14.25" customHeight="1" s="33"/>
    <row r="786" ht="14.25" customHeight="1" s="33"/>
    <row r="787" ht="14.25" customHeight="1" s="33"/>
    <row r="788" ht="14.25" customHeight="1" s="33"/>
    <row r="789" ht="14.25" customHeight="1" s="33"/>
    <row r="790" ht="14.25" customHeight="1" s="33"/>
    <row r="791" ht="14.25" customHeight="1" s="33"/>
    <row r="792" ht="14.25" customHeight="1" s="33"/>
    <row r="793" ht="14.25" customHeight="1" s="33"/>
    <row r="794" ht="14.25" customHeight="1" s="33"/>
    <row r="795" ht="14.25" customHeight="1" s="33"/>
    <row r="796" ht="14.25" customHeight="1" s="33"/>
    <row r="797" ht="14.25" customHeight="1" s="33"/>
    <row r="798" ht="14.25" customHeight="1" s="33"/>
    <row r="799" ht="14.25" customHeight="1" s="33"/>
    <row r="800" ht="14.25" customHeight="1" s="33"/>
    <row r="801" ht="14.25" customHeight="1" s="33"/>
    <row r="802" ht="14.25" customHeight="1" s="33"/>
    <row r="803" ht="14.25" customHeight="1" s="33"/>
    <row r="804" ht="14.25" customHeight="1" s="33"/>
    <row r="805" ht="14.25" customHeight="1" s="33"/>
    <row r="806" ht="14.25" customHeight="1" s="33"/>
    <row r="807" ht="14.25" customHeight="1" s="33"/>
    <row r="808" ht="14.25" customHeight="1" s="33"/>
    <row r="809" ht="14.25" customHeight="1" s="33"/>
    <row r="810" ht="14.25" customHeight="1" s="33"/>
    <row r="811" ht="14.25" customHeight="1" s="33"/>
    <row r="812" ht="14.25" customHeight="1" s="33"/>
    <row r="813" ht="14.25" customHeight="1" s="33"/>
    <row r="814" ht="14.25" customHeight="1" s="33"/>
    <row r="815" ht="14.25" customHeight="1" s="33"/>
    <row r="816" ht="14.25" customHeight="1" s="33"/>
    <row r="817" ht="14.25" customHeight="1" s="33"/>
    <row r="818" ht="14.25" customHeight="1" s="33"/>
    <row r="819" ht="14.25" customHeight="1" s="33"/>
    <row r="820" ht="14.25" customHeight="1" s="33"/>
    <row r="821" ht="14.25" customHeight="1" s="33"/>
    <row r="822" ht="14.25" customHeight="1" s="33"/>
    <row r="823" ht="14.25" customHeight="1" s="33"/>
    <row r="824" ht="14.25" customHeight="1" s="33"/>
    <row r="825" ht="14.25" customHeight="1" s="33"/>
    <row r="826" ht="14.25" customHeight="1" s="33"/>
    <row r="827" ht="14.25" customHeight="1" s="33"/>
    <row r="828" ht="14.25" customHeight="1" s="33"/>
    <row r="829" ht="14.25" customHeight="1" s="33"/>
    <row r="830" ht="14.25" customHeight="1" s="33"/>
    <row r="831" ht="14.25" customHeight="1" s="33"/>
    <row r="832" ht="14.25" customHeight="1" s="33"/>
    <row r="833" ht="14.25" customHeight="1" s="33"/>
    <row r="834" ht="14.25" customHeight="1" s="33"/>
    <row r="835" ht="14.25" customHeight="1" s="33"/>
    <row r="836" ht="14.25" customHeight="1" s="33"/>
    <row r="837" ht="14.25" customHeight="1" s="33"/>
    <row r="838" ht="14.25" customHeight="1" s="33"/>
    <row r="839" ht="14.25" customHeight="1" s="33"/>
    <row r="840" ht="14.25" customHeight="1" s="33"/>
    <row r="841" ht="14.25" customHeight="1" s="33"/>
    <row r="842" ht="14.25" customHeight="1" s="33"/>
    <row r="843" ht="14.25" customHeight="1" s="33"/>
    <row r="844" ht="14.25" customHeight="1" s="33"/>
    <row r="845" ht="14.25" customHeight="1" s="33"/>
    <row r="846" ht="14.25" customHeight="1" s="33"/>
    <row r="847" ht="14.25" customHeight="1" s="33"/>
    <row r="848" ht="14.25" customHeight="1" s="33"/>
    <row r="849" ht="14.25" customHeight="1" s="33"/>
    <row r="850" ht="14.25" customHeight="1" s="33"/>
    <row r="851" ht="14.25" customHeight="1" s="33"/>
    <row r="852" ht="14.25" customHeight="1" s="33"/>
    <row r="853" ht="14.25" customHeight="1" s="33"/>
    <row r="854" ht="14.25" customHeight="1" s="33"/>
    <row r="855" ht="14.25" customHeight="1" s="33"/>
    <row r="856" ht="14.25" customHeight="1" s="33"/>
    <row r="857" ht="14.25" customHeight="1" s="33"/>
    <row r="858" ht="14.25" customHeight="1" s="33"/>
    <row r="859" ht="14.25" customHeight="1" s="33"/>
    <row r="860" ht="14.25" customHeight="1" s="33"/>
    <row r="861" ht="14.25" customHeight="1" s="33"/>
    <row r="862" ht="14.25" customHeight="1" s="33"/>
    <row r="863" ht="14.25" customHeight="1" s="33"/>
    <row r="864" ht="14.25" customHeight="1" s="33"/>
    <row r="865" ht="14.25" customHeight="1" s="33"/>
    <row r="866" ht="14.25" customHeight="1" s="33"/>
    <row r="867" ht="14.25" customHeight="1" s="33"/>
    <row r="868" ht="14.25" customHeight="1" s="33"/>
    <row r="869" ht="14.25" customHeight="1" s="33"/>
    <row r="870" ht="14.25" customHeight="1" s="33"/>
    <row r="871" ht="14.25" customHeight="1" s="33"/>
    <row r="872" ht="14.25" customHeight="1" s="33"/>
    <row r="873" ht="14.25" customHeight="1" s="33"/>
    <row r="874" ht="14.25" customHeight="1" s="33"/>
    <row r="875" ht="14.25" customHeight="1" s="33"/>
    <row r="876" ht="14.25" customHeight="1" s="33"/>
    <row r="877" ht="14.25" customHeight="1" s="33"/>
    <row r="878" ht="14.25" customHeight="1" s="33"/>
    <row r="879" ht="14.25" customHeight="1" s="33"/>
    <row r="880" ht="14.25" customHeight="1" s="33"/>
    <row r="881" ht="14.25" customHeight="1" s="33"/>
    <row r="882" ht="14.25" customHeight="1" s="33"/>
    <row r="883" ht="14.25" customHeight="1" s="33"/>
    <row r="884" ht="14.25" customHeight="1" s="33"/>
    <row r="885" ht="14.25" customHeight="1" s="33"/>
    <row r="886" ht="14.25" customHeight="1" s="33"/>
    <row r="887" ht="14.25" customHeight="1" s="33"/>
    <row r="888" ht="14.25" customHeight="1" s="33"/>
    <row r="889" ht="14.25" customHeight="1" s="33"/>
    <row r="890" ht="14.25" customHeight="1" s="33"/>
    <row r="891" ht="14.25" customHeight="1" s="33"/>
    <row r="892" ht="14.25" customHeight="1" s="33"/>
    <row r="893" ht="14.25" customHeight="1" s="33"/>
    <row r="894" ht="14.25" customHeight="1" s="33"/>
    <row r="895" ht="14.25" customHeight="1" s="33"/>
    <row r="896" ht="14.25" customHeight="1" s="33"/>
    <row r="897" ht="14.25" customHeight="1" s="33"/>
    <row r="898" ht="14.25" customHeight="1" s="33"/>
    <row r="899" ht="14.25" customHeight="1" s="33"/>
    <row r="900" ht="14.25" customHeight="1" s="33"/>
    <row r="901" ht="14.25" customHeight="1" s="33"/>
    <row r="902" ht="14.25" customHeight="1" s="33"/>
    <row r="903" ht="14.25" customHeight="1" s="33"/>
    <row r="904" ht="14.25" customHeight="1" s="33"/>
    <row r="905" ht="14.25" customHeight="1" s="33"/>
    <row r="906" ht="14.25" customHeight="1" s="33"/>
    <row r="907" ht="14.25" customHeight="1" s="33"/>
    <row r="908" ht="14.25" customHeight="1" s="33"/>
    <row r="909" ht="14.25" customHeight="1" s="33"/>
    <row r="910" ht="14.25" customHeight="1" s="33"/>
    <row r="911" ht="14.25" customHeight="1" s="33"/>
    <row r="912" ht="14.25" customHeight="1" s="33"/>
    <row r="913" ht="14.25" customHeight="1" s="33"/>
    <row r="914" ht="14.25" customHeight="1" s="33"/>
    <row r="915" ht="14.25" customHeight="1" s="33"/>
    <row r="916" ht="14.25" customHeight="1" s="33"/>
    <row r="917" ht="14.25" customHeight="1" s="33"/>
    <row r="918" ht="14.25" customHeight="1" s="33"/>
    <row r="919" ht="14.25" customHeight="1" s="33"/>
    <row r="920" ht="14.25" customHeight="1" s="33"/>
    <row r="921" ht="14.25" customHeight="1" s="33"/>
    <row r="922" ht="14.25" customHeight="1" s="33"/>
    <row r="923" ht="14.25" customHeight="1" s="33"/>
    <row r="924" ht="14.25" customHeight="1" s="33"/>
    <row r="925" ht="14.25" customHeight="1" s="33"/>
    <row r="926" ht="14.25" customHeight="1" s="33"/>
    <row r="927" ht="14.25" customHeight="1" s="33"/>
    <row r="928" ht="14.25" customHeight="1" s="33"/>
    <row r="929" ht="14.25" customHeight="1" s="33"/>
    <row r="930" ht="14.25" customHeight="1" s="33"/>
    <row r="931" ht="14.25" customHeight="1" s="33"/>
    <row r="932" ht="14.25" customHeight="1" s="33"/>
    <row r="933" ht="14.25" customHeight="1" s="33"/>
    <row r="934" ht="14.25" customHeight="1" s="33"/>
    <row r="935" ht="14.25" customHeight="1" s="33"/>
    <row r="936" ht="14.25" customHeight="1" s="33"/>
    <row r="937" ht="14.25" customHeight="1" s="33"/>
    <row r="938" ht="14.25" customHeight="1" s="33"/>
    <row r="939" ht="14.25" customHeight="1" s="33"/>
    <row r="940" ht="14.25" customHeight="1" s="33"/>
    <row r="941" ht="14.25" customHeight="1" s="33"/>
    <row r="942" ht="14.25" customHeight="1" s="33"/>
    <row r="943" ht="14.25" customHeight="1" s="33"/>
    <row r="944" ht="14.25" customHeight="1" s="33"/>
    <row r="945" ht="14.25" customHeight="1" s="33"/>
    <row r="946" ht="14.25" customHeight="1" s="33"/>
    <row r="947" ht="14.25" customHeight="1" s="33"/>
    <row r="948" ht="14.25" customHeight="1" s="33"/>
    <row r="949" ht="14.25" customHeight="1" s="33"/>
    <row r="950" ht="14.25" customHeight="1" s="33"/>
    <row r="951" ht="14.25" customHeight="1" s="33"/>
    <row r="952" ht="14.25" customHeight="1" s="33"/>
    <row r="953" ht="14.25" customHeight="1" s="33"/>
    <row r="954" ht="14.25" customHeight="1" s="33"/>
    <row r="955" ht="14.25" customHeight="1" s="33"/>
    <row r="956" ht="14.25" customHeight="1" s="33"/>
    <row r="957" ht="14.25" customHeight="1" s="33"/>
    <row r="958" ht="14.25" customHeight="1" s="33"/>
    <row r="959" ht="14.25" customHeight="1" s="33"/>
    <row r="960" ht="14.25" customHeight="1" s="33"/>
    <row r="961" ht="14.25" customHeight="1" s="33"/>
    <row r="962" ht="14.25" customHeight="1" s="33"/>
    <row r="963" ht="14.25" customHeight="1" s="33"/>
    <row r="964" ht="14.25" customHeight="1" s="33"/>
    <row r="965" ht="14.25" customHeight="1" s="33"/>
    <row r="966" ht="14.25" customHeight="1" s="33"/>
    <row r="967" ht="14.25" customHeight="1" s="33"/>
    <row r="968" ht="14.25" customHeight="1" s="33"/>
    <row r="969" ht="14.25" customHeight="1" s="33"/>
    <row r="970" ht="14.25" customHeight="1" s="33"/>
    <row r="971" ht="14.25" customHeight="1" s="33"/>
    <row r="972" ht="14.25" customHeight="1" s="33"/>
    <row r="973" ht="14.25" customHeight="1" s="33"/>
    <row r="974" ht="14.25" customHeight="1" s="33"/>
    <row r="975" ht="14.25" customHeight="1" s="33"/>
    <row r="976" ht="14.25" customHeight="1" s="33"/>
    <row r="977" ht="14.25" customHeight="1" s="33"/>
    <row r="978" ht="14.25" customHeight="1" s="33"/>
    <row r="979" ht="14.25" customHeight="1" s="33"/>
    <row r="980" ht="14.25" customHeight="1" s="33"/>
    <row r="981" ht="14.25" customHeight="1" s="33"/>
    <row r="982" ht="14.25" customHeight="1" s="33"/>
  </sheetData>
  <mergeCells count="12">
    <mergeCell ref="A105:E105"/>
    <mergeCell ref="A124:E124"/>
    <mergeCell ref="A62:E62"/>
    <mergeCell ref="A78:E78"/>
    <mergeCell ref="A54:E54"/>
    <mergeCell ref="A117:E117"/>
    <mergeCell ref="A1:E1"/>
    <mergeCell ref="A84:E84"/>
    <mergeCell ref="A46:E46"/>
    <mergeCell ref="A8:E8"/>
    <mergeCell ref="A31:E31"/>
    <mergeCell ref="A3:E3"/>
  </mergeCells>
  <dataValidations count="1">
    <dataValidation sqref="E139:E140" showDropDown="0" showInputMessage="0" showErrorMessage="0" allowBlank="1" type="list">
      <formula1>"SI,NO"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ColWidth="14.43" defaultRowHeight="15" customHeight="1"/>
  <cols>
    <col width="14" customWidth="1" style="33" min="1" max="1"/>
    <col width="50" customWidth="1" style="33" min="2" max="2"/>
    <col width="14" customWidth="1" style="33" min="3" max="3"/>
    <col width="12" customWidth="1" style="33" min="4" max="4"/>
    <col width="18" customWidth="1" style="33" min="5" max="5"/>
    <col width="8.710000000000001" customWidth="1" style="33" min="6" max="26"/>
  </cols>
  <sheetData>
    <row r="1" ht="14.25" customHeight="1" s="33">
      <c r="A1" s="1" t="inlineStr">
        <is>
          <t>BONIFICI TRA ALEX E BLAKE</t>
        </is>
      </c>
    </row>
    <row r="2" ht="14.25" customHeight="1" s="33"/>
    <row r="3" ht="14.25" customHeight="1" s="33">
      <c r="A3" s="34" t="inlineStr">
        <is>
          <t>BONIFICI INVIATI A BLAKE (uscite)</t>
        </is>
      </c>
      <c r="B3" s="35" t="n"/>
      <c r="C3" s="35" t="n"/>
      <c r="D3" s="35" t="n"/>
      <c r="E3" s="36" t="n"/>
    </row>
    <row r="4" ht="14.25" customHeight="1" s="33">
      <c r="A4" s="5" t="inlineStr">
        <is>
          <t>Data</t>
        </is>
      </c>
      <c r="B4" s="5" t="inlineStr">
        <is>
          <t>Descrizione</t>
        </is>
      </c>
      <c r="C4" s="5" t="inlineStr">
        <is>
          <t>Importo</t>
        </is>
      </c>
      <c r="D4" s="5" t="inlineStr">
        <is>
          <t>Fonte</t>
        </is>
      </c>
      <c r="E4" s="5" t="inlineStr">
        <is>
          <t>Note</t>
        </is>
      </c>
    </row>
    <row r="5" ht="14.25" customHeight="1" s="33">
      <c r="A5" s="13" t="inlineStr">
        <is>
          <t>30/01/2026</t>
        </is>
      </c>
      <c r="B5" s="13" t="inlineStr">
        <is>
          <t>Per le spese della micia</t>
        </is>
      </c>
      <c r="C5" s="11" t="n">
        <v>50</v>
      </c>
      <c r="D5" s="13" t="inlineStr">
        <is>
          <t>Banca</t>
        </is>
      </c>
      <c r="E5" s="13" t="n"/>
    </row>
    <row r="6" ht="14.25" customHeight="1" s="33">
      <c r="A6" s="13" t="inlineStr">
        <is>
          <t>22/02/2026</t>
        </is>
      </c>
      <c r="B6" s="13" t="inlineStr">
        <is>
          <t>Per la mia micia</t>
        </is>
      </c>
      <c r="C6" s="11" t="n">
        <v>20</v>
      </c>
      <c r="D6" s="13" t="inlineStr">
        <is>
          <t>Banca</t>
        </is>
      </c>
      <c r="E6" s="13" t="n"/>
    </row>
    <row r="7" ht="14.25" customHeight="1" s="33">
      <c r="A7" s="13" t="inlineStr">
        <is>
          <t>12/03/2026</t>
        </is>
      </c>
      <c r="B7" s="13" t="inlineStr">
        <is>
          <t>Pio Pio</t>
        </is>
      </c>
      <c r="C7" s="11" t="n">
        <v>80</v>
      </c>
      <c r="D7" s="13" t="inlineStr">
        <is>
          <t>Banca</t>
        </is>
      </c>
      <c r="E7" s="13" t="n"/>
    </row>
    <row r="8" ht="14.25" customHeight="1" s="33">
      <c r="A8" s="13" t="inlineStr">
        <is>
          <t>03/11/2025</t>
        </is>
      </c>
      <c r="B8" s="13" t="inlineStr">
        <is>
          <t>Alex Sample, Blake Sample</t>
        </is>
      </c>
      <c r="C8" s="11" t="n">
        <v>-280</v>
      </c>
      <c r="D8" s="13" t="inlineStr">
        <is>
          <t>Banca</t>
        </is>
      </c>
      <c r="E8" s="13" t="n"/>
    </row>
    <row r="9" ht="14.25" customHeight="1" s="33">
      <c r="A9" s="13" t="inlineStr">
        <is>
          <t>21/03/2026</t>
        </is>
      </c>
      <c r="B9" s="13" t="inlineStr">
        <is>
          <t>BLAKE SAMPLE</t>
        </is>
      </c>
      <c r="C9" s="11" t="n">
        <v>-500</v>
      </c>
      <c r="D9" s="13" t="inlineStr">
        <is>
          <t>Banca</t>
        </is>
      </c>
      <c r="E9" s="13" t="n"/>
    </row>
    <row r="10" ht="14.25" customHeight="1" s="33">
      <c r="A10" s="13" t="inlineStr">
        <is>
          <t>24/02/2026</t>
        </is>
      </c>
      <c r="B10" s="13" t="inlineStr">
        <is>
          <t>FOR MY LADY</t>
        </is>
      </c>
      <c r="C10" s="11" t="n">
        <v>-50</v>
      </c>
      <c r="D10" s="13" t="inlineStr">
        <is>
          <t>Banca</t>
        </is>
      </c>
      <c r="E10" s="13" t="n"/>
    </row>
    <row r="11" ht="14.25" customHeight="1" s="33">
      <c r="A11" s="9" t="inlineStr">
        <is>
          <t>TOTALE</t>
        </is>
      </c>
      <c r="B11" s="9" t="n"/>
      <c r="C11" s="10">
        <f>SUM(C5:C10)</f>
        <v/>
      </c>
      <c r="D11" s="9" t="n"/>
      <c r="E11" s="9" t="n"/>
    </row>
    <row r="12" ht="14.25" customHeight="1" s="33"/>
    <row r="13" ht="14.25" customHeight="1" s="33">
      <c r="A13" s="34" t="inlineStr">
        <is>
          <t>BONIFICI RICEVUTI DA BLAKE (entrate)</t>
        </is>
      </c>
      <c r="B13" s="35" t="n"/>
      <c r="C13" s="35" t="n"/>
      <c r="D13" s="35" t="n"/>
      <c r="E13" s="36" t="n"/>
    </row>
    <row r="14" ht="14.25" customHeight="1" s="33">
      <c r="A14" s="5" t="inlineStr">
        <is>
          <t>Data</t>
        </is>
      </c>
      <c r="B14" s="5" t="inlineStr">
        <is>
          <t>Descrizione</t>
        </is>
      </c>
      <c r="C14" s="5" t="inlineStr">
        <is>
          <t>Importo</t>
        </is>
      </c>
      <c r="D14" s="5" t="inlineStr">
        <is>
          <t>Fonte</t>
        </is>
      </c>
      <c r="E14" s="5" t="inlineStr">
        <is>
          <t>Note</t>
        </is>
      </c>
    </row>
    <row r="15" ht="14.25" customHeight="1" s="33">
      <c r="A15" s="13" t="inlineStr">
        <is>
          <t>19/11/2025</t>
        </is>
      </c>
      <c r="B15" s="13" t="inlineStr">
        <is>
          <t>affitto e spese</t>
        </is>
      </c>
      <c r="C15" s="11" t="n">
        <v>500</v>
      </c>
      <c r="D15" s="13" t="inlineStr">
        <is>
          <t>Banca</t>
        </is>
      </c>
      <c r="E15" s="13" t="n"/>
    </row>
    <row r="16" ht="14.25" customHeight="1" s="33">
      <c r="A16" s="13" t="inlineStr">
        <is>
          <t>20/11/2025</t>
        </is>
      </c>
      <c r="B16" s="13" t="inlineStr">
        <is>
          <t>UNICO RAGAZZO CHE CHIEDE I SOLDI ALLA TIPA</t>
        </is>
      </c>
      <c r="C16" s="11" t="n">
        <v>210</v>
      </c>
      <c r="D16" s="13" t="inlineStr">
        <is>
          <t>Banca</t>
        </is>
      </c>
      <c r="E16" s="13" t="n"/>
    </row>
    <row r="17" ht="14.25" customHeight="1" s="33">
      <c r="A17" s="13" t="inlineStr">
        <is>
          <t>07/11/2025</t>
        </is>
      </c>
      <c r="B17" s="13" t="inlineStr">
        <is>
          <t>BENEFICIENZA BAMBINO POVERO DA SUGAR MOMMYY</t>
        </is>
      </c>
      <c r="C17" s="11" t="n">
        <v>150</v>
      </c>
      <c r="D17" s="13" t="inlineStr">
        <is>
          <t>Banca</t>
        </is>
      </c>
      <c r="E17" s="13" t="n"/>
    </row>
    <row r="18" ht="14.25" customHeight="1" s="33">
      <c r="A18" s="13" t="inlineStr">
        <is>
          <t>10/11/2025</t>
        </is>
      </c>
      <c r="B18" s="13" t="inlineStr">
        <is>
          <t>LADRO</t>
        </is>
      </c>
      <c r="C18" s="11" t="n">
        <v>400</v>
      </c>
      <c r="D18" s="13" t="inlineStr">
        <is>
          <t>Banca</t>
        </is>
      </c>
      <c r="E18" s="13" t="n"/>
    </row>
    <row r="19" ht="14.25" customHeight="1" s="33">
      <c r="A19" s="13" t="inlineStr">
        <is>
          <t>24/03/2026</t>
        </is>
      </c>
      <c r="B19" s="13" t="inlineStr">
        <is>
          <t>DALLA SUGAR MAMI:))</t>
        </is>
      </c>
      <c r="C19" s="11" t="n">
        <v>500</v>
      </c>
      <c r="D19" s="13" t="inlineStr">
        <is>
          <t>Banca</t>
        </is>
      </c>
      <c r="E19" s="13" t="n"/>
    </row>
    <row r="20" ht="14.25" customHeight="1" s="33">
      <c r="A20" s="13" t="inlineStr">
        <is>
          <t>24/03/2026</t>
        </is>
      </c>
      <c r="B20" s="13" t="inlineStr">
        <is>
          <t>X PIZZA PERCHE NON SONO BRAVA MOGLIE:(</t>
        </is>
      </c>
      <c r="C20" s="11" t="n">
        <v>10</v>
      </c>
      <c r="D20" s="13" t="inlineStr">
        <is>
          <t>Banca</t>
        </is>
      </c>
      <c r="E20" s="13" t="n"/>
    </row>
    <row r="21" ht="14.25" customHeight="1" s="33">
      <c r="A21" s="13" t="inlineStr">
        <is>
          <t>26/01/2026</t>
        </is>
      </c>
      <c r="B21" s="13" t="inlineStr">
        <is>
          <t>SPESA</t>
        </is>
      </c>
      <c r="C21" s="11" t="n">
        <v>16.27</v>
      </c>
      <c r="D21" s="13" t="inlineStr">
        <is>
          <t>Banca</t>
        </is>
      </c>
      <c r="E21" s="13" t="n"/>
    </row>
    <row r="22" ht="14.25" customHeight="1" s="33">
      <c r="A22" s="13" t="inlineStr">
        <is>
          <t>16/01/2026</t>
        </is>
      </c>
      <c r="B22" s="13" t="inlineStr">
        <is>
          <t>pulizia giardino</t>
        </is>
      </c>
      <c r="C22" s="11" t="n">
        <v>40</v>
      </c>
      <c r="D22" s="13" t="inlineStr">
        <is>
          <t>Banca</t>
        </is>
      </c>
      <c r="E22" s="13" t="n"/>
    </row>
    <row r="23" ht="14.25" customHeight="1" s="33">
      <c r="A23" s="13" t="inlineStr">
        <is>
          <t>16/02/2026</t>
        </is>
      </c>
      <c r="B23" s="13" t="inlineStr">
        <is>
          <t>Rimborso Regalo</t>
        </is>
      </c>
      <c r="C23" s="11" t="n">
        <v>80</v>
      </c>
      <c r="D23" s="13" t="inlineStr">
        <is>
          <t>Banca</t>
        </is>
      </c>
      <c r="E23" s="13" t="n"/>
    </row>
    <row r="24" ht="14.25" customHeight="1" s="33">
      <c r="A24" s="13" t="inlineStr">
        <is>
          <t>01/04/2026</t>
        </is>
      </c>
      <c r="B24" s="13" t="inlineStr">
        <is>
          <t>Bonifico ricevuto - Spese</t>
        </is>
      </c>
      <c r="C24" s="11" t="n">
        <v>300</v>
      </c>
      <c r="D24" s="13" t="inlineStr">
        <is>
          <t>Screenshot</t>
        </is>
      </c>
      <c r="E24" s="13" t="n"/>
    </row>
    <row r="25" ht="14.25" customHeight="1" s="33">
      <c r="A25" s="9" t="inlineStr">
        <is>
          <t>TOTALE</t>
        </is>
      </c>
      <c r="B25" s="9" t="n"/>
      <c r="C25" s="10">
        <f>SUM(C15:C24)</f>
        <v/>
      </c>
      <c r="D25" s="9" t="n"/>
      <c r="E25" s="9" t="n"/>
    </row>
    <row r="26" ht="14.25" customHeight="1" s="33"/>
    <row r="27" ht="14.25" customHeight="1" s="33"/>
    <row r="28" ht="14.25" customHeight="1" s="33">
      <c r="A28" s="16" t="inlineStr">
        <is>
          <t>Totale inviato a Blake</t>
        </is>
      </c>
      <c r="C28" s="19">
        <f>C11</f>
        <v/>
      </c>
    </row>
    <row r="29" ht="14.25" customHeight="1" s="33">
      <c r="A29" s="16" t="inlineStr">
        <is>
          <t>Totale ricevuto da Blake</t>
        </is>
      </c>
      <c r="C29" s="20">
        <f>C25</f>
        <v/>
      </c>
    </row>
    <row r="30" ht="14.25" customHeight="1" s="33">
      <c r="A30" s="21" t="inlineStr">
        <is>
          <t>NETTO ricevuto da Blake</t>
        </is>
      </c>
      <c r="C30" s="22">
        <f>C29+C28</f>
        <v/>
      </c>
    </row>
    <row r="31" ht="14.25" customHeight="1" s="33"/>
    <row r="32" ht="14.25" customHeight="1" s="33"/>
    <row r="33" ht="14.25" customHeight="1" s="33"/>
    <row r="34" ht="14.25" customHeight="1" s="33"/>
    <row r="35" ht="14.25" customHeight="1" s="33"/>
    <row r="36" ht="14.25" customHeight="1" s="33"/>
    <row r="37" ht="14.25" customHeight="1" s="33"/>
    <row r="38" ht="14.25" customHeight="1" s="33"/>
    <row r="39" ht="14.25" customHeight="1" s="33"/>
    <row r="40" ht="14.25" customHeight="1" s="33"/>
    <row r="41" ht="14.25" customHeight="1" s="33"/>
    <row r="42" ht="14.25" customHeight="1" s="33"/>
    <row r="43" ht="14.25" customHeight="1" s="33"/>
    <row r="44" ht="14.25" customHeight="1" s="33"/>
    <row r="45" ht="14.25" customHeight="1" s="33"/>
    <row r="46" ht="14.25" customHeight="1" s="33"/>
    <row r="47" ht="14.25" customHeight="1" s="33"/>
    <row r="48" ht="14.25" customHeight="1" s="33"/>
    <row r="49" ht="14.25" customHeight="1" s="33"/>
    <row r="50" ht="14.25" customHeight="1" s="33"/>
    <row r="51" ht="14.25" customHeight="1" s="33"/>
    <row r="52" ht="14.25" customHeight="1" s="33"/>
    <row r="53" ht="14.25" customHeight="1" s="33"/>
    <row r="54" ht="14.25" customHeight="1" s="33"/>
    <row r="55" ht="14.25" customHeight="1" s="33"/>
    <row r="56" ht="14.25" customHeight="1" s="33"/>
    <row r="57" ht="14.25" customHeight="1" s="33"/>
    <row r="58" ht="14.25" customHeight="1" s="33"/>
    <row r="59" ht="14.25" customHeight="1" s="33"/>
    <row r="60" ht="14.25" customHeight="1" s="33"/>
    <row r="61" ht="14.25" customHeight="1" s="33"/>
    <row r="62" ht="14.25" customHeight="1" s="33"/>
    <row r="63" ht="14.25" customHeight="1" s="33"/>
    <row r="64" ht="14.25" customHeight="1" s="33"/>
    <row r="65" ht="14.25" customHeight="1" s="33"/>
    <row r="66" ht="14.25" customHeight="1" s="33"/>
    <row r="67" ht="14.25" customHeight="1" s="33"/>
    <row r="68" ht="14.25" customHeight="1" s="33"/>
    <row r="69" ht="14.25" customHeight="1" s="33"/>
    <row r="70" ht="14.25" customHeight="1" s="33"/>
    <row r="71" ht="14.25" customHeight="1" s="33"/>
    <row r="72" ht="14.25" customHeight="1" s="33"/>
    <row r="73" ht="14.25" customHeight="1" s="33"/>
    <row r="74" ht="14.25" customHeight="1" s="33"/>
    <row r="75" ht="14.25" customHeight="1" s="33"/>
    <row r="76" ht="14.25" customHeight="1" s="33"/>
    <row r="77" ht="14.25" customHeight="1" s="33"/>
    <row r="78" ht="14.25" customHeight="1" s="33"/>
    <row r="79" ht="14.25" customHeight="1" s="33"/>
    <row r="80" ht="14.25" customHeight="1" s="33"/>
    <row r="81" ht="14.25" customHeight="1" s="33"/>
    <row r="82" ht="14.25" customHeight="1" s="33"/>
    <row r="83" ht="14.25" customHeight="1" s="33"/>
    <row r="84" ht="14.25" customHeight="1" s="33"/>
    <row r="85" ht="14.25" customHeight="1" s="33"/>
    <row r="86" ht="14.25" customHeight="1" s="33"/>
    <row r="87" ht="14.25" customHeight="1" s="33"/>
    <row r="88" ht="14.25" customHeight="1" s="33"/>
    <row r="89" ht="14.25" customHeight="1" s="33"/>
    <row r="90" ht="14.25" customHeight="1" s="33"/>
    <row r="91" ht="14.25" customHeight="1" s="33"/>
    <row r="92" ht="14.25" customHeight="1" s="33"/>
    <row r="93" ht="14.25" customHeight="1" s="33"/>
    <row r="94" ht="14.25" customHeight="1" s="33"/>
    <row r="95" ht="14.25" customHeight="1" s="33"/>
    <row r="96" ht="14.25" customHeight="1" s="33"/>
    <row r="97" ht="14.25" customHeight="1" s="33"/>
    <row r="98" ht="14.25" customHeight="1" s="33"/>
    <row r="99" ht="14.25" customHeight="1" s="33"/>
    <row r="100" ht="14.25" customHeight="1" s="33"/>
    <row r="101" ht="14.25" customHeight="1" s="33"/>
    <row r="102" ht="14.25" customHeight="1" s="33"/>
    <row r="103" ht="14.25" customHeight="1" s="33"/>
    <row r="104" ht="14.25" customHeight="1" s="33"/>
    <row r="105" ht="14.25" customHeight="1" s="33"/>
    <row r="106" ht="14.25" customHeight="1" s="33"/>
    <row r="107" ht="14.25" customHeight="1" s="33"/>
    <row r="108" ht="14.25" customHeight="1" s="33"/>
    <row r="109" ht="14.25" customHeight="1" s="33"/>
    <row r="110" ht="14.25" customHeight="1" s="33"/>
    <row r="111" ht="14.25" customHeight="1" s="33"/>
    <row r="112" ht="14.25" customHeight="1" s="33"/>
    <row r="113" ht="14.25" customHeight="1" s="33"/>
    <row r="114" ht="14.25" customHeight="1" s="33"/>
    <row r="115" ht="14.25" customHeight="1" s="33"/>
    <row r="116" ht="14.25" customHeight="1" s="33"/>
    <row r="117" ht="14.25" customHeight="1" s="33"/>
    <row r="118" ht="14.25" customHeight="1" s="33"/>
    <row r="119" ht="14.25" customHeight="1" s="33"/>
    <row r="120" ht="14.25" customHeight="1" s="33"/>
    <row r="121" ht="14.25" customHeight="1" s="33"/>
    <row r="122" ht="14.25" customHeight="1" s="33"/>
    <row r="123" ht="14.25" customHeight="1" s="33"/>
    <row r="124" ht="14.25" customHeight="1" s="33"/>
    <row r="125" ht="14.25" customHeight="1" s="33"/>
    <row r="126" ht="14.25" customHeight="1" s="33"/>
    <row r="127" ht="14.25" customHeight="1" s="33"/>
    <row r="128" ht="14.25" customHeight="1" s="33"/>
    <row r="129" ht="14.25" customHeight="1" s="33"/>
    <row r="130" ht="14.25" customHeight="1" s="33"/>
    <row r="131" ht="14.25" customHeight="1" s="33"/>
    <row r="132" ht="14.25" customHeight="1" s="33"/>
    <row r="133" ht="14.25" customHeight="1" s="33"/>
    <row r="134" ht="14.25" customHeight="1" s="33"/>
    <row r="135" ht="14.25" customHeight="1" s="33"/>
    <row r="136" ht="14.25" customHeight="1" s="33"/>
    <row r="137" ht="14.25" customHeight="1" s="33"/>
    <row r="138" ht="14.25" customHeight="1" s="33"/>
    <row r="139" ht="14.25" customHeight="1" s="33"/>
    <row r="140" ht="14.25" customHeight="1" s="33"/>
    <row r="141" ht="14.25" customHeight="1" s="33"/>
    <row r="142" ht="14.25" customHeight="1" s="33"/>
    <row r="143" ht="14.25" customHeight="1" s="33"/>
    <row r="144" ht="14.25" customHeight="1" s="33"/>
    <row r="145" ht="14.25" customHeight="1" s="33"/>
    <row r="146" ht="14.25" customHeight="1" s="33"/>
    <row r="147" ht="14.25" customHeight="1" s="33"/>
    <row r="148" ht="14.25" customHeight="1" s="33"/>
    <row r="149" ht="14.25" customHeight="1" s="33"/>
    <row r="150" ht="14.25" customHeight="1" s="33"/>
    <row r="151" ht="14.25" customHeight="1" s="33"/>
    <row r="152" ht="14.25" customHeight="1" s="33"/>
    <row r="153" ht="14.25" customHeight="1" s="33"/>
    <row r="154" ht="14.25" customHeight="1" s="33"/>
    <row r="155" ht="14.25" customHeight="1" s="33"/>
    <row r="156" ht="14.25" customHeight="1" s="33"/>
    <row r="157" ht="14.25" customHeight="1" s="33"/>
    <row r="158" ht="14.25" customHeight="1" s="33"/>
    <row r="159" ht="14.25" customHeight="1" s="33"/>
    <row r="160" ht="14.25" customHeight="1" s="33"/>
    <row r="161" ht="14.25" customHeight="1" s="33"/>
    <row r="162" ht="14.25" customHeight="1" s="33"/>
    <row r="163" ht="14.25" customHeight="1" s="33"/>
    <row r="164" ht="14.25" customHeight="1" s="33"/>
    <row r="165" ht="14.25" customHeight="1" s="33"/>
    <row r="166" ht="14.25" customHeight="1" s="33"/>
    <row r="167" ht="14.25" customHeight="1" s="33"/>
    <row r="168" ht="14.25" customHeight="1" s="33"/>
    <row r="169" ht="14.25" customHeight="1" s="33"/>
    <row r="170" ht="14.25" customHeight="1" s="33"/>
    <row r="171" ht="14.25" customHeight="1" s="33"/>
    <row r="172" ht="14.25" customHeight="1" s="33"/>
    <row r="173" ht="14.25" customHeight="1" s="33"/>
    <row r="174" ht="14.25" customHeight="1" s="33"/>
    <row r="175" ht="14.25" customHeight="1" s="33"/>
    <row r="176" ht="14.25" customHeight="1" s="33"/>
    <row r="177" ht="14.25" customHeight="1" s="33"/>
    <row r="178" ht="14.25" customHeight="1" s="33"/>
    <row r="179" ht="14.25" customHeight="1" s="33"/>
    <row r="180" ht="14.25" customHeight="1" s="33"/>
    <row r="181" ht="14.25" customHeight="1" s="33"/>
    <row r="182" ht="14.25" customHeight="1" s="33"/>
    <row r="183" ht="14.25" customHeight="1" s="33"/>
    <row r="184" ht="14.25" customHeight="1" s="33"/>
    <row r="185" ht="14.25" customHeight="1" s="33"/>
    <row r="186" ht="14.25" customHeight="1" s="33"/>
    <row r="187" ht="14.25" customHeight="1" s="33"/>
    <row r="188" ht="14.25" customHeight="1" s="33"/>
    <row r="189" ht="14.25" customHeight="1" s="33"/>
    <row r="190" ht="14.25" customHeight="1" s="33"/>
    <row r="191" ht="14.25" customHeight="1" s="33"/>
    <row r="192" ht="14.25" customHeight="1" s="33"/>
    <row r="193" ht="14.25" customHeight="1" s="33"/>
    <row r="194" ht="14.25" customHeight="1" s="33"/>
    <row r="195" ht="14.25" customHeight="1" s="33"/>
    <row r="196" ht="14.25" customHeight="1" s="33"/>
    <row r="197" ht="14.25" customHeight="1" s="33"/>
    <row r="198" ht="14.25" customHeight="1" s="33"/>
    <row r="199" ht="14.25" customHeight="1" s="33"/>
    <row r="200" ht="14.25" customHeight="1" s="33"/>
    <row r="201" ht="14.25" customHeight="1" s="33"/>
    <row r="202" ht="14.25" customHeight="1" s="33"/>
    <row r="203" ht="14.25" customHeight="1" s="33"/>
    <row r="204" ht="14.25" customHeight="1" s="33"/>
    <row r="205" ht="14.25" customHeight="1" s="33"/>
    <row r="206" ht="14.25" customHeight="1" s="33"/>
    <row r="207" ht="14.25" customHeight="1" s="33"/>
    <row r="208" ht="14.25" customHeight="1" s="33"/>
    <row r="209" ht="14.25" customHeight="1" s="33"/>
    <row r="210" ht="14.25" customHeight="1" s="33"/>
    <row r="211" ht="14.25" customHeight="1" s="33"/>
    <row r="212" ht="14.25" customHeight="1" s="33"/>
    <row r="213" ht="14.25" customHeight="1" s="33"/>
    <row r="214" ht="14.25" customHeight="1" s="33"/>
    <row r="215" ht="14.25" customHeight="1" s="33"/>
    <row r="216" ht="14.25" customHeight="1" s="33"/>
    <row r="217" ht="14.25" customHeight="1" s="33"/>
    <row r="218" ht="14.25" customHeight="1" s="33"/>
    <row r="219" ht="14.25" customHeight="1" s="33"/>
    <row r="220" ht="14.25" customHeight="1" s="33"/>
    <row r="221" ht="14.25" customHeight="1" s="33"/>
    <row r="222" ht="14.25" customHeight="1" s="33"/>
    <row r="223" ht="14.25" customHeight="1" s="33"/>
    <row r="224" ht="14.25" customHeight="1" s="33"/>
    <row r="225" ht="14.25" customHeight="1" s="33"/>
    <row r="226" ht="14.25" customHeight="1" s="33"/>
    <row r="227" ht="14.25" customHeight="1" s="33"/>
    <row r="228" ht="14.25" customHeight="1" s="33"/>
    <row r="229" ht="14.25" customHeight="1" s="33"/>
    <row r="230" ht="14.25" customHeight="1" s="33"/>
    <row r="231" ht="14.25" customHeight="1" s="33"/>
    <row r="232" ht="14.25" customHeight="1" s="33"/>
    <row r="233" ht="14.25" customHeight="1" s="33"/>
    <row r="234" ht="14.25" customHeight="1" s="33"/>
    <row r="235" ht="14.25" customHeight="1" s="33"/>
    <row r="236" ht="14.25" customHeight="1" s="33"/>
    <row r="237" ht="14.25" customHeight="1" s="33"/>
    <row r="238" ht="14.25" customHeight="1" s="33"/>
    <row r="239" ht="14.25" customHeight="1" s="33"/>
    <row r="240" ht="14.25" customHeight="1" s="33"/>
    <row r="241" ht="14.25" customHeight="1" s="33"/>
    <row r="242" ht="14.25" customHeight="1" s="33"/>
    <row r="243" ht="14.25" customHeight="1" s="33"/>
    <row r="244" ht="14.25" customHeight="1" s="33"/>
    <row r="245" ht="14.25" customHeight="1" s="33"/>
    <row r="246" ht="14.25" customHeight="1" s="33"/>
    <row r="247" ht="14.25" customHeight="1" s="33"/>
    <row r="248" ht="14.25" customHeight="1" s="33"/>
    <row r="249" ht="14.25" customHeight="1" s="33"/>
    <row r="250" ht="14.25" customHeight="1" s="33"/>
    <row r="251" ht="14.25" customHeight="1" s="33"/>
    <row r="252" ht="14.25" customHeight="1" s="33"/>
    <row r="253" ht="14.25" customHeight="1" s="33"/>
    <row r="254" ht="14.25" customHeight="1" s="33"/>
    <row r="255" ht="14.25" customHeight="1" s="33"/>
    <row r="256" ht="14.25" customHeight="1" s="33"/>
    <row r="257" ht="14.25" customHeight="1" s="33"/>
    <row r="258" ht="14.25" customHeight="1" s="33"/>
    <row r="259" ht="14.25" customHeight="1" s="33"/>
    <row r="260" ht="14.25" customHeight="1" s="33"/>
    <row r="261" ht="14.25" customHeight="1" s="33"/>
    <row r="262" ht="14.25" customHeight="1" s="33"/>
    <row r="263" ht="14.25" customHeight="1" s="33"/>
    <row r="264" ht="14.25" customHeight="1" s="33"/>
    <row r="265" ht="14.25" customHeight="1" s="33"/>
    <row r="266" ht="14.25" customHeight="1" s="33"/>
    <row r="267" ht="14.25" customHeight="1" s="33"/>
    <row r="268" ht="14.25" customHeight="1" s="33"/>
    <row r="269" ht="14.25" customHeight="1" s="33"/>
    <row r="270" ht="14.25" customHeight="1" s="33"/>
    <row r="271" ht="14.25" customHeight="1" s="33"/>
    <row r="272" ht="14.25" customHeight="1" s="33"/>
    <row r="273" ht="14.25" customHeight="1" s="33"/>
    <row r="274" ht="14.25" customHeight="1" s="33"/>
    <row r="275" ht="14.25" customHeight="1" s="33"/>
    <row r="276" ht="14.25" customHeight="1" s="33"/>
    <row r="277" ht="14.25" customHeight="1" s="33"/>
    <row r="278" ht="14.25" customHeight="1" s="33"/>
    <row r="279" ht="14.25" customHeight="1" s="33"/>
    <row r="280" ht="14.25" customHeight="1" s="33"/>
    <row r="281" ht="14.25" customHeight="1" s="33"/>
    <row r="282" ht="14.25" customHeight="1" s="33"/>
    <row r="283" ht="14.25" customHeight="1" s="33"/>
    <row r="284" ht="14.25" customHeight="1" s="33"/>
    <row r="285" ht="14.25" customHeight="1" s="33"/>
    <row r="286" ht="14.25" customHeight="1" s="33"/>
    <row r="287" ht="14.25" customHeight="1" s="33"/>
    <row r="288" ht="14.25" customHeight="1" s="33"/>
    <row r="289" ht="14.25" customHeight="1" s="33"/>
    <row r="290" ht="14.25" customHeight="1" s="33"/>
    <row r="291" ht="14.25" customHeight="1" s="33"/>
    <row r="292" ht="14.25" customHeight="1" s="33"/>
    <row r="293" ht="14.25" customHeight="1" s="33"/>
    <row r="294" ht="14.25" customHeight="1" s="33"/>
    <row r="295" ht="14.25" customHeight="1" s="33"/>
    <row r="296" ht="14.25" customHeight="1" s="33"/>
    <row r="297" ht="14.25" customHeight="1" s="33"/>
    <row r="298" ht="14.25" customHeight="1" s="33"/>
    <row r="299" ht="14.25" customHeight="1" s="33"/>
    <row r="300" ht="14.25" customHeight="1" s="33"/>
    <row r="301" ht="14.25" customHeight="1" s="33"/>
    <row r="302" ht="14.25" customHeight="1" s="33"/>
    <row r="303" ht="14.25" customHeight="1" s="33"/>
    <row r="304" ht="14.25" customHeight="1" s="33"/>
    <row r="305" ht="14.25" customHeight="1" s="33"/>
    <row r="306" ht="14.25" customHeight="1" s="33"/>
    <row r="307" ht="14.25" customHeight="1" s="33"/>
    <row r="308" ht="14.25" customHeight="1" s="33"/>
    <row r="309" ht="14.25" customHeight="1" s="33"/>
    <row r="310" ht="14.25" customHeight="1" s="33"/>
    <row r="311" ht="14.25" customHeight="1" s="33"/>
    <row r="312" ht="14.25" customHeight="1" s="33"/>
    <row r="313" ht="14.25" customHeight="1" s="33"/>
    <row r="314" ht="14.25" customHeight="1" s="33"/>
    <row r="315" ht="14.25" customHeight="1" s="33"/>
    <row r="316" ht="14.25" customHeight="1" s="33"/>
    <row r="317" ht="14.25" customHeight="1" s="33"/>
    <row r="318" ht="14.25" customHeight="1" s="33"/>
    <row r="319" ht="14.25" customHeight="1" s="33"/>
    <row r="320" ht="14.25" customHeight="1" s="33"/>
    <row r="321" ht="14.25" customHeight="1" s="33"/>
    <row r="322" ht="14.25" customHeight="1" s="33"/>
    <row r="323" ht="14.25" customHeight="1" s="33"/>
    <row r="324" ht="14.25" customHeight="1" s="33"/>
    <row r="325" ht="14.25" customHeight="1" s="33"/>
    <row r="326" ht="14.25" customHeight="1" s="33"/>
    <row r="327" ht="14.25" customHeight="1" s="33"/>
    <row r="328" ht="14.25" customHeight="1" s="33"/>
    <row r="329" ht="14.25" customHeight="1" s="33"/>
    <row r="330" ht="14.25" customHeight="1" s="33"/>
    <row r="331" ht="14.25" customHeight="1" s="33"/>
    <row r="332" ht="14.25" customHeight="1" s="33"/>
    <row r="333" ht="14.25" customHeight="1" s="33"/>
    <row r="334" ht="14.25" customHeight="1" s="33"/>
    <row r="335" ht="14.25" customHeight="1" s="33"/>
    <row r="336" ht="14.25" customHeight="1" s="33"/>
    <row r="337" ht="14.25" customHeight="1" s="33"/>
    <row r="338" ht="14.25" customHeight="1" s="33"/>
    <row r="339" ht="14.25" customHeight="1" s="33"/>
    <row r="340" ht="14.25" customHeight="1" s="33"/>
    <row r="341" ht="14.25" customHeight="1" s="33"/>
    <row r="342" ht="14.25" customHeight="1" s="33"/>
    <row r="343" ht="14.25" customHeight="1" s="33"/>
    <row r="344" ht="14.25" customHeight="1" s="33"/>
    <row r="345" ht="14.25" customHeight="1" s="33"/>
    <row r="346" ht="14.25" customHeight="1" s="33"/>
    <row r="347" ht="14.25" customHeight="1" s="33"/>
    <row r="348" ht="14.25" customHeight="1" s="33"/>
    <row r="349" ht="14.25" customHeight="1" s="33"/>
    <row r="350" ht="14.25" customHeight="1" s="33"/>
    <row r="351" ht="14.25" customHeight="1" s="33"/>
    <row r="352" ht="14.25" customHeight="1" s="33"/>
    <row r="353" ht="14.25" customHeight="1" s="33"/>
    <row r="354" ht="14.25" customHeight="1" s="33"/>
    <row r="355" ht="14.25" customHeight="1" s="33"/>
    <row r="356" ht="14.25" customHeight="1" s="33"/>
    <row r="357" ht="14.25" customHeight="1" s="33"/>
    <row r="358" ht="14.25" customHeight="1" s="33"/>
    <row r="359" ht="14.25" customHeight="1" s="33"/>
    <row r="360" ht="14.25" customHeight="1" s="33"/>
    <row r="361" ht="14.25" customHeight="1" s="33"/>
    <row r="362" ht="14.25" customHeight="1" s="33"/>
    <row r="363" ht="14.25" customHeight="1" s="33"/>
    <row r="364" ht="14.25" customHeight="1" s="33"/>
    <row r="365" ht="14.25" customHeight="1" s="33"/>
    <row r="366" ht="14.25" customHeight="1" s="33"/>
    <row r="367" ht="14.25" customHeight="1" s="33"/>
    <row r="368" ht="14.25" customHeight="1" s="33"/>
    <row r="369" ht="14.25" customHeight="1" s="33"/>
    <row r="370" ht="14.25" customHeight="1" s="33"/>
    <row r="371" ht="14.25" customHeight="1" s="33"/>
    <row r="372" ht="14.25" customHeight="1" s="33"/>
    <row r="373" ht="14.25" customHeight="1" s="33"/>
    <row r="374" ht="14.25" customHeight="1" s="33"/>
    <row r="375" ht="14.25" customHeight="1" s="33"/>
    <row r="376" ht="14.25" customHeight="1" s="33"/>
    <row r="377" ht="14.25" customHeight="1" s="33"/>
    <row r="378" ht="14.25" customHeight="1" s="33"/>
    <row r="379" ht="14.25" customHeight="1" s="33"/>
    <row r="380" ht="14.25" customHeight="1" s="33"/>
    <row r="381" ht="14.25" customHeight="1" s="33"/>
    <row r="382" ht="14.25" customHeight="1" s="33"/>
    <row r="383" ht="14.25" customHeight="1" s="33"/>
    <row r="384" ht="14.25" customHeight="1" s="33"/>
    <row r="385" ht="14.25" customHeight="1" s="33"/>
    <row r="386" ht="14.25" customHeight="1" s="33"/>
    <row r="387" ht="14.25" customHeight="1" s="33"/>
    <row r="388" ht="14.25" customHeight="1" s="33"/>
    <row r="389" ht="14.25" customHeight="1" s="33"/>
    <row r="390" ht="14.25" customHeight="1" s="33"/>
    <row r="391" ht="14.25" customHeight="1" s="33"/>
    <row r="392" ht="14.25" customHeight="1" s="33"/>
    <row r="393" ht="14.25" customHeight="1" s="33"/>
    <row r="394" ht="14.25" customHeight="1" s="33"/>
    <row r="395" ht="14.25" customHeight="1" s="33"/>
    <row r="396" ht="14.25" customHeight="1" s="33"/>
    <row r="397" ht="14.25" customHeight="1" s="33"/>
    <row r="398" ht="14.25" customHeight="1" s="33"/>
    <row r="399" ht="14.25" customHeight="1" s="33"/>
    <row r="400" ht="14.25" customHeight="1" s="33"/>
    <row r="401" ht="14.25" customHeight="1" s="33"/>
    <row r="402" ht="14.25" customHeight="1" s="33"/>
    <row r="403" ht="14.25" customHeight="1" s="33"/>
    <row r="404" ht="14.25" customHeight="1" s="33"/>
    <row r="405" ht="14.25" customHeight="1" s="33"/>
    <row r="406" ht="14.25" customHeight="1" s="33"/>
    <row r="407" ht="14.25" customHeight="1" s="33"/>
    <row r="408" ht="14.25" customHeight="1" s="33"/>
    <row r="409" ht="14.25" customHeight="1" s="33"/>
    <row r="410" ht="14.25" customHeight="1" s="33"/>
    <row r="411" ht="14.25" customHeight="1" s="33"/>
    <row r="412" ht="14.25" customHeight="1" s="33"/>
    <row r="413" ht="14.25" customHeight="1" s="33"/>
    <row r="414" ht="14.25" customHeight="1" s="33"/>
    <row r="415" ht="14.25" customHeight="1" s="33"/>
    <row r="416" ht="14.25" customHeight="1" s="33"/>
    <row r="417" ht="14.25" customHeight="1" s="33"/>
    <row r="418" ht="14.25" customHeight="1" s="33"/>
    <row r="419" ht="14.25" customHeight="1" s="33"/>
    <row r="420" ht="14.25" customHeight="1" s="33"/>
    <row r="421" ht="14.25" customHeight="1" s="33"/>
    <row r="422" ht="14.25" customHeight="1" s="33"/>
    <row r="423" ht="14.25" customHeight="1" s="33"/>
    <row r="424" ht="14.25" customHeight="1" s="33"/>
    <row r="425" ht="14.25" customHeight="1" s="33"/>
    <row r="426" ht="14.25" customHeight="1" s="33"/>
    <row r="427" ht="14.25" customHeight="1" s="33"/>
    <row r="428" ht="14.25" customHeight="1" s="33"/>
    <row r="429" ht="14.25" customHeight="1" s="33"/>
    <row r="430" ht="14.25" customHeight="1" s="33"/>
    <row r="431" ht="14.25" customHeight="1" s="33"/>
    <row r="432" ht="14.25" customHeight="1" s="33"/>
    <row r="433" ht="14.25" customHeight="1" s="33"/>
    <row r="434" ht="14.25" customHeight="1" s="33"/>
    <row r="435" ht="14.25" customHeight="1" s="33"/>
    <row r="436" ht="14.25" customHeight="1" s="33"/>
    <row r="437" ht="14.25" customHeight="1" s="33"/>
    <row r="438" ht="14.25" customHeight="1" s="33"/>
    <row r="439" ht="14.25" customHeight="1" s="33"/>
    <row r="440" ht="14.25" customHeight="1" s="33"/>
    <row r="441" ht="14.25" customHeight="1" s="33"/>
    <row r="442" ht="14.25" customHeight="1" s="33"/>
    <row r="443" ht="14.25" customHeight="1" s="33"/>
    <row r="444" ht="14.25" customHeight="1" s="33"/>
    <row r="445" ht="14.25" customHeight="1" s="33"/>
    <row r="446" ht="14.25" customHeight="1" s="33"/>
    <row r="447" ht="14.25" customHeight="1" s="33"/>
    <row r="448" ht="14.25" customHeight="1" s="33"/>
    <row r="449" ht="14.25" customHeight="1" s="33"/>
    <row r="450" ht="14.25" customHeight="1" s="33"/>
    <row r="451" ht="14.25" customHeight="1" s="33"/>
    <row r="452" ht="14.25" customHeight="1" s="33"/>
    <row r="453" ht="14.25" customHeight="1" s="33"/>
    <row r="454" ht="14.25" customHeight="1" s="33"/>
    <row r="455" ht="14.25" customHeight="1" s="33"/>
    <row r="456" ht="14.25" customHeight="1" s="33"/>
    <row r="457" ht="14.25" customHeight="1" s="33"/>
    <row r="458" ht="14.25" customHeight="1" s="33"/>
    <row r="459" ht="14.25" customHeight="1" s="33"/>
    <row r="460" ht="14.25" customHeight="1" s="33"/>
    <row r="461" ht="14.25" customHeight="1" s="33"/>
    <row r="462" ht="14.25" customHeight="1" s="33"/>
    <row r="463" ht="14.25" customHeight="1" s="33"/>
    <row r="464" ht="14.25" customHeight="1" s="33"/>
    <row r="465" ht="14.25" customHeight="1" s="33"/>
    <row r="466" ht="14.25" customHeight="1" s="33"/>
    <row r="467" ht="14.25" customHeight="1" s="33"/>
    <row r="468" ht="14.25" customHeight="1" s="33"/>
    <row r="469" ht="14.25" customHeight="1" s="33"/>
    <row r="470" ht="14.25" customHeight="1" s="33"/>
    <row r="471" ht="14.25" customHeight="1" s="33"/>
    <row r="472" ht="14.25" customHeight="1" s="33"/>
    <row r="473" ht="14.25" customHeight="1" s="33"/>
    <row r="474" ht="14.25" customHeight="1" s="33"/>
    <row r="475" ht="14.25" customHeight="1" s="33"/>
    <row r="476" ht="14.25" customHeight="1" s="33"/>
    <row r="477" ht="14.25" customHeight="1" s="33"/>
    <row r="478" ht="14.25" customHeight="1" s="33"/>
    <row r="479" ht="14.25" customHeight="1" s="33"/>
    <row r="480" ht="14.25" customHeight="1" s="33"/>
    <row r="481" ht="14.25" customHeight="1" s="33"/>
    <row r="482" ht="14.25" customHeight="1" s="33"/>
    <row r="483" ht="14.25" customHeight="1" s="33"/>
    <row r="484" ht="14.25" customHeight="1" s="33"/>
    <row r="485" ht="14.25" customHeight="1" s="33"/>
    <row r="486" ht="14.25" customHeight="1" s="33"/>
    <row r="487" ht="14.25" customHeight="1" s="33"/>
    <row r="488" ht="14.25" customHeight="1" s="33"/>
    <row r="489" ht="14.25" customHeight="1" s="33"/>
    <row r="490" ht="14.25" customHeight="1" s="33"/>
    <row r="491" ht="14.25" customHeight="1" s="33"/>
    <row r="492" ht="14.25" customHeight="1" s="33"/>
    <row r="493" ht="14.25" customHeight="1" s="33"/>
    <row r="494" ht="14.25" customHeight="1" s="33"/>
    <row r="495" ht="14.25" customHeight="1" s="33"/>
    <row r="496" ht="14.25" customHeight="1" s="33"/>
    <row r="497" ht="14.25" customHeight="1" s="33"/>
    <row r="498" ht="14.25" customHeight="1" s="33"/>
    <row r="499" ht="14.25" customHeight="1" s="33"/>
    <row r="500" ht="14.25" customHeight="1" s="33"/>
    <row r="501" ht="14.25" customHeight="1" s="33"/>
    <row r="502" ht="14.25" customHeight="1" s="33"/>
    <row r="503" ht="14.25" customHeight="1" s="33"/>
    <row r="504" ht="14.25" customHeight="1" s="33"/>
    <row r="505" ht="14.25" customHeight="1" s="33"/>
    <row r="506" ht="14.25" customHeight="1" s="33"/>
    <row r="507" ht="14.25" customHeight="1" s="33"/>
    <row r="508" ht="14.25" customHeight="1" s="33"/>
    <row r="509" ht="14.25" customHeight="1" s="33"/>
    <row r="510" ht="14.25" customHeight="1" s="33"/>
    <row r="511" ht="14.25" customHeight="1" s="33"/>
    <row r="512" ht="14.25" customHeight="1" s="33"/>
    <row r="513" ht="14.25" customHeight="1" s="33"/>
    <row r="514" ht="14.25" customHeight="1" s="33"/>
    <row r="515" ht="14.25" customHeight="1" s="33"/>
    <row r="516" ht="14.25" customHeight="1" s="33"/>
    <row r="517" ht="14.25" customHeight="1" s="33"/>
    <row r="518" ht="14.25" customHeight="1" s="33"/>
    <row r="519" ht="14.25" customHeight="1" s="33"/>
    <row r="520" ht="14.25" customHeight="1" s="33"/>
    <row r="521" ht="14.25" customHeight="1" s="33"/>
    <row r="522" ht="14.25" customHeight="1" s="33"/>
    <row r="523" ht="14.25" customHeight="1" s="33"/>
    <row r="524" ht="14.25" customHeight="1" s="33"/>
    <row r="525" ht="14.25" customHeight="1" s="33"/>
    <row r="526" ht="14.25" customHeight="1" s="33"/>
    <row r="527" ht="14.25" customHeight="1" s="33"/>
    <row r="528" ht="14.25" customHeight="1" s="33"/>
    <row r="529" ht="14.25" customHeight="1" s="33"/>
    <row r="530" ht="14.25" customHeight="1" s="33"/>
    <row r="531" ht="14.25" customHeight="1" s="33"/>
    <row r="532" ht="14.25" customHeight="1" s="33"/>
    <row r="533" ht="14.25" customHeight="1" s="33"/>
    <row r="534" ht="14.25" customHeight="1" s="33"/>
    <row r="535" ht="14.25" customHeight="1" s="33"/>
    <row r="536" ht="14.25" customHeight="1" s="33"/>
    <row r="537" ht="14.25" customHeight="1" s="33"/>
    <row r="538" ht="14.25" customHeight="1" s="33"/>
    <row r="539" ht="14.25" customHeight="1" s="33"/>
    <row r="540" ht="14.25" customHeight="1" s="33"/>
    <row r="541" ht="14.25" customHeight="1" s="33"/>
    <row r="542" ht="14.25" customHeight="1" s="33"/>
    <row r="543" ht="14.25" customHeight="1" s="33"/>
    <row r="544" ht="14.25" customHeight="1" s="33"/>
    <row r="545" ht="14.25" customHeight="1" s="33"/>
    <row r="546" ht="14.25" customHeight="1" s="33"/>
    <row r="547" ht="14.25" customHeight="1" s="33"/>
    <row r="548" ht="14.25" customHeight="1" s="33"/>
    <row r="549" ht="14.25" customHeight="1" s="33"/>
    <row r="550" ht="14.25" customHeight="1" s="33"/>
    <row r="551" ht="14.25" customHeight="1" s="33"/>
    <row r="552" ht="14.25" customHeight="1" s="33"/>
    <row r="553" ht="14.25" customHeight="1" s="33"/>
    <row r="554" ht="14.25" customHeight="1" s="33"/>
    <row r="555" ht="14.25" customHeight="1" s="33"/>
    <row r="556" ht="14.25" customHeight="1" s="33"/>
    <row r="557" ht="14.25" customHeight="1" s="33"/>
    <row r="558" ht="14.25" customHeight="1" s="33"/>
    <row r="559" ht="14.25" customHeight="1" s="33"/>
    <row r="560" ht="14.25" customHeight="1" s="33"/>
    <row r="561" ht="14.25" customHeight="1" s="33"/>
    <row r="562" ht="14.25" customHeight="1" s="33"/>
    <row r="563" ht="14.25" customHeight="1" s="33"/>
    <row r="564" ht="14.25" customHeight="1" s="33"/>
    <row r="565" ht="14.25" customHeight="1" s="33"/>
    <row r="566" ht="14.25" customHeight="1" s="33"/>
    <row r="567" ht="14.25" customHeight="1" s="33"/>
    <row r="568" ht="14.25" customHeight="1" s="33"/>
    <row r="569" ht="14.25" customHeight="1" s="33"/>
    <row r="570" ht="14.25" customHeight="1" s="33"/>
    <row r="571" ht="14.25" customHeight="1" s="33"/>
    <row r="572" ht="14.25" customHeight="1" s="33"/>
    <row r="573" ht="14.25" customHeight="1" s="33"/>
    <row r="574" ht="14.25" customHeight="1" s="33"/>
    <row r="575" ht="14.25" customHeight="1" s="33"/>
    <row r="576" ht="14.25" customHeight="1" s="33"/>
    <row r="577" ht="14.25" customHeight="1" s="33"/>
    <row r="578" ht="14.25" customHeight="1" s="33"/>
    <row r="579" ht="14.25" customHeight="1" s="33"/>
    <row r="580" ht="14.25" customHeight="1" s="33"/>
    <row r="581" ht="14.25" customHeight="1" s="33"/>
    <row r="582" ht="14.25" customHeight="1" s="33"/>
    <row r="583" ht="14.25" customHeight="1" s="33"/>
    <row r="584" ht="14.25" customHeight="1" s="33"/>
    <row r="585" ht="14.25" customHeight="1" s="33"/>
    <row r="586" ht="14.25" customHeight="1" s="33"/>
    <row r="587" ht="14.25" customHeight="1" s="33"/>
    <row r="588" ht="14.25" customHeight="1" s="33"/>
    <row r="589" ht="14.25" customHeight="1" s="33"/>
    <row r="590" ht="14.25" customHeight="1" s="33"/>
    <row r="591" ht="14.25" customHeight="1" s="33"/>
    <row r="592" ht="14.25" customHeight="1" s="33"/>
    <row r="593" ht="14.25" customHeight="1" s="33"/>
    <row r="594" ht="14.25" customHeight="1" s="33"/>
    <row r="595" ht="14.25" customHeight="1" s="33"/>
    <row r="596" ht="14.25" customHeight="1" s="33"/>
    <row r="597" ht="14.25" customHeight="1" s="33"/>
    <row r="598" ht="14.25" customHeight="1" s="33"/>
    <row r="599" ht="14.25" customHeight="1" s="33"/>
    <row r="600" ht="14.25" customHeight="1" s="33"/>
    <row r="601" ht="14.25" customHeight="1" s="33"/>
    <row r="602" ht="14.25" customHeight="1" s="33"/>
    <row r="603" ht="14.25" customHeight="1" s="33"/>
    <row r="604" ht="14.25" customHeight="1" s="33"/>
    <row r="605" ht="14.25" customHeight="1" s="33"/>
    <row r="606" ht="14.25" customHeight="1" s="33"/>
    <row r="607" ht="14.25" customHeight="1" s="33"/>
    <row r="608" ht="14.25" customHeight="1" s="33"/>
    <row r="609" ht="14.25" customHeight="1" s="33"/>
    <row r="610" ht="14.25" customHeight="1" s="33"/>
    <row r="611" ht="14.25" customHeight="1" s="33"/>
    <row r="612" ht="14.25" customHeight="1" s="33"/>
    <row r="613" ht="14.25" customHeight="1" s="33"/>
    <row r="614" ht="14.25" customHeight="1" s="33"/>
    <row r="615" ht="14.25" customHeight="1" s="33"/>
    <row r="616" ht="14.25" customHeight="1" s="33"/>
    <row r="617" ht="14.25" customHeight="1" s="33"/>
    <row r="618" ht="14.25" customHeight="1" s="33"/>
    <row r="619" ht="14.25" customHeight="1" s="33"/>
    <row r="620" ht="14.25" customHeight="1" s="33"/>
    <row r="621" ht="14.25" customHeight="1" s="33"/>
    <row r="622" ht="14.25" customHeight="1" s="33"/>
    <row r="623" ht="14.25" customHeight="1" s="33"/>
    <row r="624" ht="14.25" customHeight="1" s="33"/>
    <row r="625" ht="14.25" customHeight="1" s="33"/>
    <row r="626" ht="14.25" customHeight="1" s="33"/>
    <row r="627" ht="14.25" customHeight="1" s="33"/>
    <row r="628" ht="14.25" customHeight="1" s="33"/>
    <row r="629" ht="14.25" customHeight="1" s="33"/>
    <row r="630" ht="14.25" customHeight="1" s="33"/>
    <row r="631" ht="14.25" customHeight="1" s="33"/>
    <row r="632" ht="14.25" customHeight="1" s="33"/>
    <row r="633" ht="14.25" customHeight="1" s="33"/>
    <row r="634" ht="14.25" customHeight="1" s="33"/>
    <row r="635" ht="14.25" customHeight="1" s="33"/>
    <row r="636" ht="14.25" customHeight="1" s="33"/>
    <row r="637" ht="14.25" customHeight="1" s="33"/>
    <row r="638" ht="14.25" customHeight="1" s="33"/>
    <row r="639" ht="14.25" customHeight="1" s="33"/>
    <row r="640" ht="14.25" customHeight="1" s="33"/>
    <row r="641" ht="14.25" customHeight="1" s="33"/>
    <row r="642" ht="14.25" customHeight="1" s="33"/>
    <row r="643" ht="14.25" customHeight="1" s="33"/>
    <row r="644" ht="14.25" customHeight="1" s="33"/>
    <row r="645" ht="14.25" customHeight="1" s="33"/>
    <row r="646" ht="14.25" customHeight="1" s="33"/>
    <row r="647" ht="14.25" customHeight="1" s="33"/>
    <row r="648" ht="14.25" customHeight="1" s="33"/>
    <row r="649" ht="14.25" customHeight="1" s="33"/>
    <row r="650" ht="14.25" customHeight="1" s="33"/>
    <row r="651" ht="14.25" customHeight="1" s="33"/>
    <row r="652" ht="14.25" customHeight="1" s="33"/>
    <row r="653" ht="14.25" customHeight="1" s="33"/>
    <row r="654" ht="14.25" customHeight="1" s="33"/>
    <row r="655" ht="14.25" customHeight="1" s="33"/>
    <row r="656" ht="14.25" customHeight="1" s="33"/>
    <row r="657" ht="14.25" customHeight="1" s="33"/>
    <row r="658" ht="14.25" customHeight="1" s="33"/>
    <row r="659" ht="14.25" customHeight="1" s="33"/>
    <row r="660" ht="14.25" customHeight="1" s="33"/>
    <row r="661" ht="14.25" customHeight="1" s="33"/>
    <row r="662" ht="14.25" customHeight="1" s="33"/>
    <row r="663" ht="14.25" customHeight="1" s="33"/>
    <row r="664" ht="14.25" customHeight="1" s="33"/>
    <row r="665" ht="14.25" customHeight="1" s="33"/>
    <row r="666" ht="14.25" customHeight="1" s="33"/>
    <row r="667" ht="14.25" customHeight="1" s="33"/>
    <row r="668" ht="14.25" customHeight="1" s="33"/>
    <row r="669" ht="14.25" customHeight="1" s="33"/>
    <row r="670" ht="14.25" customHeight="1" s="33"/>
    <row r="671" ht="14.25" customHeight="1" s="33"/>
    <row r="672" ht="14.25" customHeight="1" s="33"/>
    <row r="673" ht="14.25" customHeight="1" s="33"/>
    <row r="674" ht="14.25" customHeight="1" s="33"/>
    <row r="675" ht="14.25" customHeight="1" s="33"/>
    <row r="676" ht="14.25" customHeight="1" s="33"/>
    <row r="677" ht="14.25" customHeight="1" s="33"/>
    <row r="678" ht="14.25" customHeight="1" s="33"/>
    <row r="679" ht="14.25" customHeight="1" s="33"/>
    <row r="680" ht="14.25" customHeight="1" s="33"/>
    <row r="681" ht="14.25" customHeight="1" s="33"/>
    <row r="682" ht="14.25" customHeight="1" s="33"/>
    <row r="683" ht="14.25" customHeight="1" s="33"/>
    <row r="684" ht="14.25" customHeight="1" s="33"/>
    <row r="685" ht="14.25" customHeight="1" s="33"/>
    <row r="686" ht="14.25" customHeight="1" s="33"/>
    <row r="687" ht="14.25" customHeight="1" s="33"/>
    <row r="688" ht="14.25" customHeight="1" s="33"/>
    <row r="689" ht="14.25" customHeight="1" s="33"/>
    <row r="690" ht="14.25" customHeight="1" s="33"/>
    <row r="691" ht="14.25" customHeight="1" s="33"/>
    <row r="692" ht="14.25" customHeight="1" s="33"/>
    <row r="693" ht="14.25" customHeight="1" s="33"/>
    <row r="694" ht="14.25" customHeight="1" s="33"/>
    <row r="695" ht="14.25" customHeight="1" s="33"/>
    <row r="696" ht="14.25" customHeight="1" s="33"/>
    <row r="697" ht="14.25" customHeight="1" s="33"/>
    <row r="698" ht="14.25" customHeight="1" s="33"/>
    <row r="699" ht="14.25" customHeight="1" s="33"/>
    <row r="700" ht="14.25" customHeight="1" s="33"/>
    <row r="701" ht="14.25" customHeight="1" s="33"/>
    <row r="702" ht="14.25" customHeight="1" s="33"/>
    <row r="703" ht="14.25" customHeight="1" s="33"/>
    <row r="704" ht="14.25" customHeight="1" s="33"/>
    <row r="705" ht="14.25" customHeight="1" s="33"/>
    <row r="706" ht="14.25" customHeight="1" s="33"/>
    <row r="707" ht="14.25" customHeight="1" s="33"/>
    <row r="708" ht="14.25" customHeight="1" s="33"/>
    <row r="709" ht="14.25" customHeight="1" s="33"/>
    <row r="710" ht="14.25" customHeight="1" s="33"/>
    <row r="711" ht="14.25" customHeight="1" s="33"/>
    <row r="712" ht="14.25" customHeight="1" s="33"/>
    <row r="713" ht="14.25" customHeight="1" s="33"/>
    <row r="714" ht="14.25" customHeight="1" s="33"/>
    <row r="715" ht="14.25" customHeight="1" s="33"/>
    <row r="716" ht="14.25" customHeight="1" s="33"/>
    <row r="717" ht="14.25" customHeight="1" s="33"/>
    <row r="718" ht="14.25" customHeight="1" s="33"/>
    <row r="719" ht="14.25" customHeight="1" s="33"/>
    <row r="720" ht="14.25" customHeight="1" s="33"/>
    <row r="721" ht="14.25" customHeight="1" s="33"/>
    <row r="722" ht="14.25" customHeight="1" s="33"/>
    <row r="723" ht="14.25" customHeight="1" s="33"/>
    <row r="724" ht="14.25" customHeight="1" s="33"/>
    <row r="725" ht="14.25" customHeight="1" s="33"/>
    <row r="726" ht="14.25" customHeight="1" s="33"/>
    <row r="727" ht="14.25" customHeight="1" s="33"/>
    <row r="728" ht="14.25" customHeight="1" s="33"/>
    <row r="729" ht="14.25" customHeight="1" s="33"/>
    <row r="730" ht="14.25" customHeight="1" s="33"/>
    <row r="731" ht="14.25" customHeight="1" s="33"/>
    <row r="732" ht="14.25" customHeight="1" s="33"/>
    <row r="733" ht="14.25" customHeight="1" s="33"/>
    <row r="734" ht="14.25" customHeight="1" s="33"/>
    <row r="735" ht="14.25" customHeight="1" s="33"/>
    <row r="736" ht="14.25" customHeight="1" s="33"/>
    <row r="737" ht="14.25" customHeight="1" s="33"/>
    <row r="738" ht="14.25" customHeight="1" s="33"/>
    <row r="739" ht="14.25" customHeight="1" s="33"/>
    <row r="740" ht="14.25" customHeight="1" s="33"/>
    <row r="741" ht="14.25" customHeight="1" s="33"/>
    <row r="742" ht="14.25" customHeight="1" s="33"/>
    <row r="743" ht="14.25" customHeight="1" s="33"/>
    <row r="744" ht="14.25" customHeight="1" s="33"/>
    <row r="745" ht="14.25" customHeight="1" s="33"/>
    <row r="746" ht="14.25" customHeight="1" s="33"/>
    <row r="747" ht="14.25" customHeight="1" s="33"/>
    <row r="748" ht="14.25" customHeight="1" s="33"/>
    <row r="749" ht="14.25" customHeight="1" s="33"/>
    <row r="750" ht="14.25" customHeight="1" s="33"/>
    <row r="751" ht="14.25" customHeight="1" s="33"/>
    <row r="752" ht="14.25" customHeight="1" s="33"/>
    <row r="753" ht="14.25" customHeight="1" s="33"/>
    <row r="754" ht="14.25" customHeight="1" s="33"/>
    <row r="755" ht="14.25" customHeight="1" s="33"/>
    <row r="756" ht="14.25" customHeight="1" s="33"/>
    <row r="757" ht="14.25" customHeight="1" s="33"/>
    <row r="758" ht="14.25" customHeight="1" s="33"/>
    <row r="759" ht="14.25" customHeight="1" s="33"/>
    <row r="760" ht="14.25" customHeight="1" s="33"/>
    <row r="761" ht="14.25" customHeight="1" s="33"/>
    <row r="762" ht="14.25" customHeight="1" s="33"/>
    <row r="763" ht="14.25" customHeight="1" s="33"/>
    <row r="764" ht="14.25" customHeight="1" s="33"/>
    <row r="765" ht="14.25" customHeight="1" s="33"/>
    <row r="766" ht="14.25" customHeight="1" s="33"/>
    <row r="767" ht="14.25" customHeight="1" s="33"/>
    <row r="768" ht="14.25" customHeight="1" s="33"/>
    <row r="769" ht="14.25" customHeight="1" s="33"/>
    <row r="770" ht="14.25" customHeight="1" s="33"/>
    <row r="771" ht="14.25" customHeight="1" s="33"/>
    <row r="772" ht="14.25" customHeight="1" s="33"/>
    <row r="773" ht="14.25" customHeight="1" s="33"/>
    <row r="774" ht="14.25" customHeight="1" s="33"/>
    <row r="775" ht="14.25" customHeight="1" s="33"/>
    <row r="776" ht="14.25" customHeight="1" s="33"/>
    <row r="777" ht="14.25" customHeight="1" s="33"/>
    <row r="778" ht="14.25" customHeight="1" s="33"/>
    <row r="779" ht="14.25" customHeight="1" s="33"/>
    <row r="780" ht="14.25" customHeight="1" s="33"/>
    <row r="781" ht="14.25" customHeight="1" s="33"/>
    <row r="782" ht="14.25" customHeight="1" s="33"/>
    <row r="783" ht="14.25" customHeight="1" s="33"/>
    <row r="784" ht="14.25" customHeight="1" s="33"/>
    <row r="785" ht="14.25" customHeight="1" s="33"/>
    <row r="786" ht="14.25" customHeight="1" s="33"/>
    <row r="787" ht="14.25" customHeight="1" s="33"/>
    <row r="788" ht="14.25" customHeight="1" s="33"/>
    <row r="789" ht="14.25" customHeight="1" s="33"/>
    <row r="790" ht="14.25" customHeight="1" s="33"/>
    <row r="791" ht="14.25" customHeight="1" s="33"/>
    <row r="792" ht="14.25" customHeight="1" s="33"/>
    <row r="793" ht="14.25" customHeight="1" s="33"/>
    <row r="794" ht="14.25" customHeight="1" s="33"/>
    <row r="795" ht="14.25" customHeight="1" s="33"/>
    <row r="796" ht="14.25" customHeight="1" s="33"/>
    <row r="797" ht="14.25" customHeight="1" s="33"/>
    <row r="798" ht="14.25" customHeight="1" s="33"/>
    <row r="799" ht="14.25" customHeight="1" s="33"/>
    <row r="800" ht="14.25" customHeight="1" s="33"/>
    <row r="801" ht="14.25" customHeight="1" s="33"/>
    <row r="802" ht="14.25" customHeight="1" s="33"/>
    <row r="803" ht="14.25" customHeight="1" s="33"/>
    <row r="804" ht="14.25" customHeight="1" s="33"/>
    <row r="805" ht="14.25" customHeight="1" s="33"/>
    <row r="806" ht="14.25" customHeight="1" s="33"/>
    <row r="807" ht="14.25" customHeight="1" s="33"/>
    <row r="808" ht="14.25" customHeight="1" s="33"/>
    <row r="809" ht="14.25" customHeight="1" s="33"/>
    <row r="810" ht="14.25" customHeight="1" s="33"/>
    <row r="811" ht="14.25" customHeight="1" s="33"/>
    <row r="812" ht="14.25" customHeight="1" s="33"/>
    <row r="813" ht="14.25" customHeight="1" s="33"/>
    <row r="814" ht="14.25" customHeight="1" s="33"/>
    <row r="815" ht="14.25" customHeight="1" s="33"/>
    <row r="816" ht="14.25" customHeight="1" s="33"/>
    <row r="817" ht="14.25" customHeight="1" s="33"/>
    <row r="818" ht="14.25" customHeight="1" s="33"/>
    <row r="819" ht="14.25" customHeight="1" s="33"/>
    <row r="820" ht="14.25" customHeight="1" s="33"/>
    <row r="821" ht="14.25" customHeight="1" s="33"/>
    <row r="822" ht="14.25" customHeight="1" s="33"/>
    <row r="823" ht="14.25" customHeight="1" s="33"/>
    <row r="824" ht="14.25" customHeight="1" s="33"/>
    <row r="825" ht="14.25" customHeight="1" s="33"/>
    <row r="826" ht="14.25" customHeight="1" s="33"/>
    <row r="827" ht="14.25" customHeight="1" s="33"/>
    <row r="828" ht="14.25" customHeight="1" s="33"/>
    <row r="829" ht="14.25" customHeight="1" s="33"/>
    <row r="830" ht="14.25" customHeight="1" s="33"/>
    <row r="831" ht="14.25" customHeight="1" s="33"/>
    <row r="832" ht="14.25" customHeight="1" s="33"/>
    <row r="833" ht="14.25" customHeight="1" s="33"/>
    <row r="834" ht="14.25" customHeight="1" s="33"/>
    <row r="835" ht="14.25" customHeight="1" s="33"/>
    <row r="836" ht="14.25" customHeight="1" s="33"/>
    <row r="837" ht="14.25" customHeight="1" s="33"/>
    <row r="838" ht="14.25" customHeight="1" s="33"/>
    <row r="839" ht="14.25" customHeight="1" s="33"/>
    <row r="840" ht="14.25" customHeight="1" s="33"/>
    <row r="841" ht="14.25" customHeight="1" s="33"/>
    <row r="842" ht="14.25" customHeight="1" s="33"/>
    <row r="843" ht="14.25" customHeight="1" s="33"/>
    <row r="844" ht="14.25" customHeight="1" s="33"/>
    <row r="845" ht="14.25" customHeight="1" s="33"/>
    <row r="846" ht="14.25" customHeight="1" s="33"/>
    <row r="847" ht="14.25" customHeight="1" s="33"/>
    <row r="848" ht="14.25" customHeight="1" s="33"/>
    <row r="849" ht="14.25" customHeight="1" s="33"/>
    <row r="850" ht="14.25" customHeight="1" s="33"/>
    <row r="851" ht="14.25" customHeight="1" s="33"/>
    <row r="852" ht="14.25" customHeight="1" s="33"/>
    <row r="853" ht="14.25" customHeight="1" s="33"/>
    <row r="854" ht="14.25" customHeight="1" s="33"/>
    <row r="855" ht="14.25" customHeight="1" s="33"/>
    <row r="856" ht="14.25" customHeight="1" s="33"/>
    <row r="857" ht="14.25" customHeight="1" s="33"/>
    <row r="858" ht="14.25" customHeight="1" s="33"/>
    <row r="859" ht="14.25" customHeight="1" s="33"/>
    <row r="860" ht="14.25" customHeight="1" s="33"/>
    <row r="861" ht="14.25" customHeight="1" s="33"/>
    <row r="862" ht="14.25" customHeight="1" s="33"/>
    <row r="863" ht="14.25" customHeight="1" s="33"/>
    <row r="864" ht="14.25" customHeight="1" s="33"/>
    <row r="865" ht="14.25" customHeight="1" s="33"/>
    <row r="866" ht="14.25" customHeight="1" s="33"/>
    <row r="867" ht="14.25" customHeight="1" s="33"/>
    <row r="868" ht="14.25" customHeight="1" s="33"/>
    <row r="869" ht="14.25" customHeight="1" s="33"/>
    <row r="870" ht="14.25" customHeight="1" s="33"/>
    <row r="871" ht="14.25" customHeight="1" s="33"/>
    <row r="872" ht="14.25" customHeight="1" s="33"/>
    <row r="873" ht="14.25" customHeight="1" s="33"/>
    <row r="874" ht="14.25" customHeight="1" s="33"/>
    <row r="875" ht="14.25" customHeight="1" s="33"/>
    <row r="876" ht="14.25" customHeight="1" s="33"/>
    <row r="877" ht="14.25" customHeight="1" s="33"/>
    <row r="878" ht="14.25" customHeight="1" s="33"/>
    <row r="879" ht="14.25" customHeight="1" s="33"/>
    <row r="880" ht="14.25" customHeight="1" s="33"/>
    <row r="881" ht="14.25" customHeight="1" s="33"/>
    <row r="882" ht="14.25" customHeight="1" s="33"/>
    <row r="883" ht="14.25" customHeight="1" s="33"/>
    <row r="884" ht="14.25" customHeight="1" s="33"/>
    <row r="885" ht="14.25" customHeight="1" s="33"/>
    <row r="886" ht="14.25" customHeight="1" s="33"/>
    <row r="887" ht="14.25" customHeight="1" s="33"/>
    <row r="888" ht="14.25" customHeight="1" s="33"/>
    <row r="889" ht="14.25" customHeight="1" s="33"/>
    <row r="890" ht="14.25" customHeight="1" s="33"/>
    <row r="891" ht="14.25" customHeight="1" s="33"/>
    <row r="892" ht="14.25" customHeight="1" s="33"/>
    <row r="893" ht="14.25" customHeight="1" s="33"/>
    <row r="894" ht="14.25" customHeight="1" s="33"/>
    <row r="895" ht="14.25" customHeight="1" s="33"/>
    <row r="896" ht="14.25" customHeight="1" s="33"/>
    <row r="897" ht="14.25" customHeight="1" s="33"/>
    <row r="898" ht="14.25" customHeight="1" s="33"/>
    <row r="899" ht="14.25" customHeight="1" s="33"/>
    <row r="900" ht="14.25" customHeight="1" s="33"/>
    <row r="901" ht="14.25" customHeight="1" s="33"/>
    <row r="902" ht="14.25" customHeight="1" s="33"/>
    <row r="903" ht="14.25" customHeight="1" s="33"/>
    <row r="904" ht="14.25" customHeight="1" s="33"/>
    <row r="905" ht="14.25" customHeight="1" s="33"/>
    <row r="906" ht="14.25" customHeight="1" s="33"/>
    <row r="907" ht="14.25" customHeight="1" s="33"/>
    <row r="908" ht="14.25" customHeight="1" s="33"/>
    <row r="909" ht="14.25" customHeight="1" s="33"/>
    <row r="910" ht="14.25" customHeight="1" s="33"/>
    <row r="911" ht="14.25" customHeight="1" s="33"/>
    <row r="912" ht="14.25" customHeight="1" s="33"/>
    <row r="913" ht="14.25" customHeight="1" s="33"/>
    <row r="914" ht="14.25" customHeight="1" s="33"/>
    <row r="915" ht="14.25" customHeight="1" s="33"/>
    <row r="916" ht="14.25" customHeight="1" s="33"/>
    <row r="917" ht="14.25" customHeight="1" s="33"/>
    <row r="918" ht="14.25" customHeight="1" s="33"/>
    <row r="919" ht="14.25" customHeight="1" s="33"/>
    <row r="920" ht="14.25" customHeight="1" s="33"/>
    <row r="921" ht="14.25" customHeight="1" s="33"/>
    <row r="922" ht="14.25" customHeight="1" s="33"/>
    <row r="923" ht="14.25" customHeight="1" s="33"/>
    <row r="924" ht="14.25" customHeight="1" s="33"/>
    <row r="925" ht="14.25" customHeight="1" s="33"/>
    <row r="926" ht="14.25" customHeight="1" s="33"/>
    <row r="927" ht="14.25" customHeight="1" s="33"/>
    <row r="928" ht="14.25" customHeight="1" s="33"/>
    <row r="929" ht="14.25" customHeight="1" s="33"/>
    <row r="930" ht="14.25" customHeight="1" s="33"/>
    <row r="931" ht="14.25" customHeight="1" s="33"/>
    <row r="932" ht="14.25" customHeight="1" s="33"/>
    <row r="933" ht="14.25" customHeight="1" s="33"/>
    <row r="934" ht="14.25" customHeight="1" s="33"/>
    <row r="935" ht="14.25" customHeight="1" s="33"/>
    <row r="936" ht="14.25" customHeight="1" s="33"/>
    <row r="937" ht="14.25" customHeight="1" s="33"/>
    <row r="938" ht="14.25" customHeight="1" s="33"/>
    <row r="939" ht="14.25" customHeight="1" s="33"/>
    <row r="940" ht="14.25" customHeight="1" s="33"/>
    <row r="941" ht="14.25" customHeight="1" s="33"/>
    <row r="942" ht="14.25" customHeight="1" s="33"/>
    <row r="943" ht="14.25" customHeight="1" s="33"/>
    <row r="944" ht="14.25" customHeight="1" s="33"/>
    <row r="945" ht="14.25" customHeight="1" s="33"/>
    <row r="946" ht="14.25" customHeight="1" s="33"/>
    <row r="947" ht="14.25" customHeight="1" s="33"/>
    <row r="948" ht="14.25" customHeight="1" s="33"/>
    <row r="949" ht="14.25" customHeight="1" s="33"/>
    <row r="950" ht="14.25" customHeight="1" s="33"/>
    <row r="951" ht="14.25" customHeight="1" s="33"/>
    <row r="952" ht="14.25" customHeight="1" s="33"/>
    <row r="953" ht="14.25" customHeight="1" s="33"/>
    <row r="954" ht="14.25" customHeight="1" s="33"/>
    <row r="955" ht="14.25" customHeight="1" s="33"/>
    <row r="956" ht="14.25" customHeight="1" s="33"/>
    <row r="957" ht="14.25" customHeight="1" s="33"/>
    <row r="958" ht="14.25" customHeight="1" s="33"/>
    <row r="959" ht="14.25" customHeight="1" s="33"/>
    <row r="960" ht="14.25" customHeight="1" s="33"/>
    <row r="961" ht="14.25" customHeight="1" s="33"/>
    <row r="962" ht="14.25" customHeight="1" s="33"/>
    <row r="963" ht="14.25" customHeight="1" s="33"/>
    <row r="964" ht="14.25" customHeight="1" s="33"/>
    <row r="965" ht="14.25" customHeight="1" s="33"/>
    <row r="966" ht="14.25" customHeight="1" s="33"/>
    <row r="967" ht="14.25" customHeight="1" s="33"/>
    <row r="968" ht="14.25" customHeight="1" s="33"/>
    <row r="969" ht="14.25" customHeight="1" s="33"/>
    <row r="970" ht="14.25" customHeight="1" s="33"/>
    <row r="971" ht="14.25" customHeight="1" s="33"/>
    <row r="972" ht="14.25" customHeight="1" s="33"/>
    <row r="973" ht="14.25" customHeight="1" s="33"/>
    <row r="974" ht="14.25" customHeight="1" s="33"/>
    <row r="975" ht="14.25" customHeight="1" s="33"/>
    <row r="976" ht="14.25" customHeight="1" s="33"/>
    <row r="977" ht="14.25" customHeight="1" s="33"/>
    <row r="978" ht="14.25" customHeight="1" s="33"/>
    <row r="979" ht="14.25" customHeight="1" s="33"/>
    <row r="980" ht="14.25" customHeight="1" s="33"/>
    <row r="981" ht="14.25" customHeight="1" s="33"/>
    <row r="982" ht="14.25" customHeight="1" s="33"/>
    <row r="983" ht="14.25" customHeight="1" s="33"/>
    <row r="984" ht="14.25" customHeight="1" s="33"/>
    <row r="985" ht="14.25" customHeight="1" s="33"/>
    <row r="986" ht="14.25" customHeight="1" s="33"/>
    <row r="987" ht="14.25" customHeight="1" s="33"/>
    <row r="988" ht="14.25" customHeight="1" s="33"/>
    <row r="989" ht="14.25" customHeight="1" s="33"/>
    <row r="990" ht="14.25" customHeight="1" s="33"/>
    <row r="991" ht="14.25" customHeight="1" s="33"/>
    <row r="992" ht="14.25" customHeight="1" s="33"/>
    <row r="993" ht="14.25" customHeight="1" s="33"/>
    <row r="994" ht="14.25" customHeight="1" s="33"/>
    <row r="995" ht="14.25" customHeight="1" s="33"/>
    <row r="996" ht="14.25" customHeight="1" s="33"/>
    <row r="997" ht="14.25" customHeight="1" s="33"/>
    <row r="998" ht="14.25" customHeight="1" s="33"/>
    <row r="999" ht="14.25" customHeight="1" s="33"/>
    <row r="1000" ht="14.25" customHeight="1" s="33"/>
  </sheetData>
  <mergeCells count="3">
    <mergeCell ref="A1:E1"/>
    <mergeCell ref="A13:E13"/>
    <mergeCell ref="A3:E3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ColWidth="14.43" defaultRowHeight="15" customHeight="1"/>
  <cols>
    <col width="45" customWidth="1" style="33" min="1" max="1"/>
    <col width="18" customWidth="1" style="33" min="2" max="4"/>
    <col width="8.710000000000001" customWidth="1" style="33" min="5" max="26"/>
  </cols>
  <sheetData>
    <row r="1" ht="14.25" customHeight="1" s="33">
      <c r="A1" s="1" t="inlineStr">
        <is>
          <t>RIEPILOGO DIVISIONE SPESE</t>
        </is>
      </c>
    </row>
    <row r="2" ht="14.25" customHeight="1" s="33">
      <c r="A2" s="23" t="inlineStr">
        <is>
          <t>Percentuali:</t>
        </is>
      </c>
      <c r="C2" s="24" t="n">
        <v>0.7</v>
      </c>
      <c r="D2" s="24" t="n">
        <v>0.3</v>
      </c>
    </row>
    <row r="3" ht="14.25" customHeight="1" s="33"/>
    <row r="4" ht="14.25" customHeight="1" s="33">
      <c r="A4" s="5" t="inlineStr">
        <is>
          <t>Categoria</t>
        </is>
      </c>
      <c r="B4" s="5" t="inlineStr">
        <is>
          <t>Totale</t>
        </is>
      </c>
      <c r="C4" s="5">
        <f>"Quota Alex ("&amp;TEXT(C2,"0%")&amp;")"</f>
        <v/>
      </c>
      <c r="D4" s="5">
        <f>"Quota Blake ("&amp;TEXT(D2,"0%")&amp;")"</f>
        <v/>
      </c>
    </row>
    <row r="5" ht="14.25" customHeight="1" s="33">
      <c r="A5" s="13" t="inlineStr">
        <is>
          <t>AFFITTO</t>
        </is>
      </c>
      <c r="B5" s="11">
        <f>'Spese Condivise'!C11</f>
        <v/>
      </c>
      <c r="C5" s="11">
        <f>B5*C$2</f>
        <v/>
      </c>
      <c r="D5" s="11">
        <f>B5*D$2</f>
        <v/>
      </c>
    </row>
    <row r="6" ht="14.25" customHeight="1" s="33">
      <c r="A6" s="13" t="inlineStr">
        <is>
          <t>SPESA FISSA MENSILE (100 EUR/mese)</t>
        </is>
      </c>
      <c r="B6" s="11">
        <f>'Spese Condivise'!C22</f>
        <v/>
      </c>
      <c r="C6" s="11">
        <f>B6*C$2</f>
        <v/>
      </c>
      <c r="D6" s="11">
        <f>B6*D$2</f>
        <v/>
      </c>
    </row>
    <row r="7" ht="14.25" customHeight="1" s="33">
      <c r="A7" s="13" t="inlineStr">
        <is>
          <t>SUPERMERCATO / ALIMENTARI</t>
        </is>
      </c>
      <c r="B7" s="11">
        <f>'Spese Condivise'!C68</f>
        <v/>
      </c>
      <c r="C7" s="11">
        <f>B7*C$2</f>
        <v/>
      </c>
      <c r="D7" s="11">
        <f>B7*D$2</f>
        <v/>
      </c>
    </row>
    <row r="8" ht="14.25" customHeight="1" s="33">
      <c r="A8" s="13" t="inlineStr">
        <is>
          <t>VERDURE MATTIA BRUNI (PayPal)</t>
        </is>
      </c>
      <c r="B8" s="11">
        <f>'Spese Condivise'!C91</f>
        <v/>
      </c>
      <c r="C8" s="11">
        <f>B8*C$2</f>
        <v/>
      </c>
      <c r="D8" s="11">
        <f>B8*D$2</f>
        <v/>
      </c>
    </row>
    <row r="9" ht="14.25" customHeight="1" s="33">
      <c r="A9" s="13" t="inlineStr">
        <is>
          <t>KORO ALIMENTARI (PayPal)</t>
        </is>
      </c>
      <c r="B9" s="11">
        <f>'Spese Condivise'!C100</f>
        <v/>
      </c>
      <c r="C9" s="11">
        <f>B9*C$2</f>
        <v/>
      </c>
      <c r="D9" s="11">
        <f>B9*D$2</f>
        <v/>
      </c>
    </row>
    <row r="10" ht="14.25" customHeight="1" s="33">
      <c r="A10" s="13" t="inlineStr">
        <is>
          <t>MANDORLE / NOCCIOLE (forfettario)</t>
        </is>
      </c>
      <c r="B10" s="11">
        <f>'Spese Condivise'!C105</f>
        <v/>
      </c>
      <c r="C10" s="11">
        <f>B10*C$2</f>
        <v/>
      </c>
      <c r="D10" s="11">
        <f>B10*D$2</f>
        <v/>
      </c>
    </row>
    <row r="11" ht="14.25" customHeight="1" s="33">
      <c r="A11" s="13" t="inlineStr">
        <is>
          <t>BOLLETTE / UTENZE</t>
        </is>
      </c>
      <c r="B11" s="11">
        <f>'Spese Condivise'!C124</f>
        <v/>
      </c>
      <c r="C11" s="11">
        <f>B11*C$2</f>
        <v/>
      </c>
      <c r="D11" s="11">
        <f>B11*D$2</f>
        <v/>
      </c>
    </row>
    <row r="12" ht="14.25" customHeight="1" s="33">
      <c r="A12" s="13" t="inlineStr">
        <is>
          <t>CASA / ARREDAMENTO</t>
        </is>
      </c>
      <c r="B12" s="11">
        <f>'Spese Condivise'!C141</f>
        <v/>
      </c>
      <c r="C12" s="11">
        <f>B12*C$2</f>
        <v/>
      </c>
      <c r="D12" s="11">
        <f>B12*D$2</f>
        <v/>
      </c>
    </row>
    <row r="13" ht="14.25" customHeight="1" s="33">
      <c r="A13" s="13" t="inlineStr">
        <is>
          <t>VIAGGI - NAPOLI/ROMA (11-12 Ott)</t>
        </is>
      </c>
      <c r="B13" s="11">
        <f>'Spese Condivise'!C161</f>
        <v/>
      </c>
      <c r="C13" s="11">
        <f>B13*C$2</f>
        <v/>
      </c>
      <c r="D13" s="11">
        <f>B13*D$2</f>
        <v/>
      </c>
    </row>
    <row r="14" ht="14.25" customHeight="1" s="33">
      <c r="A14" s="13" t="inlineStr">
        <is>
          <t>VIAGGI - PISA (29 Nov)</t>
        </is>
      </c>
      <c r="B14" s="11">
        <f>'Spese Condivise'!C174</f>
        <v/>
      </c>
      <c r="C14" s="11">
        <f>B14*C$2</f>
        <v/>
      </c>
      <c r="D14" s="11">
        <f>B14*D$2</f>
        <v/>
      </c>
    </row>
    <row r="15" ht="14.25" customHeight="1" s="33">
      <c r="A15" s="13" t="inlineStr">
        <is>
          <t>VIAGGI - SESTOLA SCI (27-29 Dic)</t>
        </is>
      </c>
      <c r="B15" s="11">
        <f>'Spese Condivise'!C193</f>
        <v/>
      </c>
      <c r="C15" s="11">
        <f>B15*C$2</f>
        <v/>
      </c>
      <c r="D15" s="11">
        <f>B15*D$2</f>
        <v/>
      </c>
    </row>
    <row r="16" ht="14.25" customHeight="1" s="33">
      <c r="A16" s="13" t="inlineStr">
        <is>
          <t>VIAGGI - VOLI/PRENOTAZIONI</t>
        </is>
      </c>
      <c r="B16" s="11">
        <f>'Spese Condivise'!C198</f>
        <v/>
      </c>
      <c r="C16" s="11">
        <f>B16*C$2</f>
        <v/>
      </c>
      <c r="D16" s="11">
        <f>B16*D$2</f>
        <v/>
      </c>
    </row>
    <row r="17" ht="14.25" customHeight="1" s="33">
      <c r="A17" s="13" t="inlineStr">
        <is>
          <t>RISTORANTI / BAR (locale)</t>
        </is>
      </c>
      <c r="B17" s="11">
        <f>'Spese Condivise'!C211</f>
        <v/>
      </c>
      <c r="C17" s="11">
        <f>B17*C$2</f>
        <v/>
      </c>
      <c r="D17" s="11">
        <f>B17*D$2</f>
        <v/>
      </c>
    </row>
    <row r="18" ht="14.25" customHeight="1" s="33">
      <c r="A18" s="13" t="inlineStr">
        <is>
          <t>AMAZON (vari - per casa?)</t>
        </is>
      </c>
      <c r="B18" s="11">
        <f>'Spese Condivise'!C255</f>
        <v/>
      </c>
      <c r="C18" s="11">
        <f>B18*C$2</f>
        <v/>
      </c>
      <c r="D18" s="11">
        <f>B18*D$2</f>
        <v/>
      </c>
    </row>
    <row r="19" ht="14.25" customHeight="1" s="33">
      <c r="A19" s="13" t="inlineStr">
        <is>
          <t>SPETTACOLI / CINEMA</t>
        </is>
      </c>
      <c r="B19" s="11">
        <f>'Spese Condivise'!C260</f>
        <v/>
      </c>
      <c r="C19" s="11">
        <f>B19*C$2</f>
        <v/>
      </c>
      <c r="D19" s="11">
        <f>B19*D$2</f>
        <v/>
      </c>
    </row>
    <row r="20" ht="14.25" customHeight="1" s="33">
      <c r="A20" s="13" t="inlineStr">
        <is>
          <t>TECNOLOGIA / ELETTRONICA (condivisa)</t>
        </is>
      </c>
      <c r="B20" s="11">
        <f>'Spese Condivise'!C268</f>
        <v/>
      </c>
      <c r="C20" s="11">
        <f>B20*C$2</f>
        <v/>
      </c>
      <c r="D20" s="11">
        <f>B20*D$2</f>
        <v/>
      </c>
    </row>
    <row r="21" ht="14.25" customHeight="1" s="33">
      <c r="A21" s="13" t="inlineStr">
        <is>
          <t>ANIMALI / MICIA (condivisa)</t>
        </is>
      </c>
      <c r="B21" s="11">
        <f>'Spese Condivise'!C274</f>
        <v/>
      </c>
      <c r="C21" s="11">
        <f>B21*C$2</f>
        <v/>
      </c>
      <c r="D21" s="11">
        <f>B21*D$2</f>
        <v/>
      </c>
    </row>
    <row r="22" ht="13.5" customHeight="1" s="33">
      <c r="A22" s="13" t="inlineStr">
        <is>
          <t>ACQUISTI VARI (condivisi)</t>
        </is>
      </c>
      <c r="B22" s="11">
        <f>'Spese Condivise'!C287</f>
        <v/>
      </c>
      <c r="C22" s="11">
        <f>B22*C$2</f>
        <v/>
      </c>
      <c r="D22" s="11">
        <f>B22*D$2</f>
        <v/>
      </c>
    </row>
    <row r="23" ht="14.25" customHeight="1" s="33">
      <c r="A23" s="13" t="inlineStr">
        <is>
          <t>GOOGLE PLAY APPS</t>
        </is>
      </c>
      <c r="B23" s="11">
        <f>'Spese Condivise'!C297</f>
        <v/>
      </c>
      <c r="C23" s="11">
        <f>B23*C$2</f>
        <v/>
      </c>
      <c r="D23" s="11">
        <f>B23*D$2</f>
        <v/>
      </c>
    </row>
    <row r="24" ht="14.25" customHeight="1" s="33">
      <c r="A24" s="25" t="inlineStr">
        <is>
          <t>Eliminazione Amazon, tecnologia, acquisti vari</t>
        </is>
      </c>
      <c r="B24" s="26">
        <f>-(B18+B20+B22+B12)</f>
        <v/>
      </c>
    </row>
    <row r="25" ht="14.25" customHeight="1" s="33">
      <c r="A25" s="27" t="inlineStr">
        <is>
          <t>TOTALE SPESE CONDIVISE</t>
        </is>
      </c>
      <c r="B25" s="28">
        <f>SUM(B5:B24)</f>
        <v/>
      </c>
      <c r="C25" s="28">
        <f>B25*C2</f>
        <v/>
      </c>
      <c r="D25" s="28">
        <f>B25*D2</f>
        <v/>
      </c>
    </row>
    <row r="26" ht="14.25" customHeight="1" s="33"/>
    <row r="27" ht="14.25" customHeight="1" s="33"/>
    <row r="28" ht="14.25" customHeight="1" s="33">
      <c r="A28" s="29" t="inlineStr">
        <is>
          <t>CALCOLO FINALE</t>
        </is>
      </c>
    </row>
    <row r="29" ht="14.25" customHeight="1" s="33"/>
    <row r="30" ht="14.25" customHeight="1" s="33">
      <c r="A30" s="16" t="inlineStr">
        <is>
          <t>Blake deve a Alex (quota spese condivise)</t>
        </is>
      </c>
      <c r="B30" s="19">
        <f>D25</f>
        <v/>
      </c>
    </row>
    <row r="31" ht="14.25" customHeight="1" s="33">
      <c r="A31" s="16" t="inlineStr">
        <is>
          <t>Blake ha gia' dato a Alex (bonifici)</t>
        </is>
      </c>
      <c r="B31" s="20">
        <f>'Bonifici Blake'!C25</f>
        <v/>
      </c>
    </row>
    <row r="32" ht="14.25" customHeight="1" s="33">
      <c r="A32" s="16" t="inlineStr">
        <is>
          <t>Alex ha inviato a Blake (bonifici)</t>
        </is>
      </c>
      <c r="B32" s="19">
        <f>ABS('Bonifici Blake'!C11)</f>
        <v/>
      </c>
    </row>
    <row r="33" ht="14.25" customHeight="1" s="33"/>
    <row r="34" ht="14.25" customHeight="1" s="33">
      <c r="A34" s="30" t="inlineStr">
        <is>
          <t>BLAKE DEVE ANCORA A ALEX</t>
        </is>
      </c>
      <c r="B34" s="31">
        <f>B30-B31+B32</f>
        <v/>
      </c>
    </row>
    <row r="35" ht="14.25" customHeight="1" s="33"/>
    <row r="36" ht="14.25" customHeight="1" s="33">
      <c r="A36" s="32" t="inlineStr">
        <is>
          <t>NOTA: Questo calcolo non tiene conto delle spese segnate come 'Pagato=SI'</t>
        </is>
      </c>
    </row>
    <row r="37" ht="14.25" customHeight="1" s="33">
      <c r="A37" s="32" t="inlineStr">
        <is>
          <t>nel foglio 'Spese Condivise'. Aggiorna manualmente se necessario.</t>
        </is>
      </c>
    </row>
    <row r="38" ht="14.25" customHeight="1" s="33"/>
    <row r="39" ht="14.25" customHeight="1" s="33"/>
    <row r="40" ht="14.25" customHeight="1" s="33"/>
    <row r="41" ht="14.25" customHeight="1" s="33"/>
    <row r="42" ht="14.25" customHeight="1" s="33"/>
    <row r="43" ht="14.25" customHeight="1" s="33"/>
    <row r="44" ht="14.25" customHeight="1" s="33"/>
    <row r="45" ht="14.25" customHeight="1" s="33"/>
    <row r="46" ht="14.25" customHeight="1" s="33"/>
    <row r="47" ht="14.25" customHeight="1" s="33"/>
    <row r="48" ht="14.25" customHeight="1" s="33"/>
    <row r="49" ht="14.25" customHeight="1" s="33"/>
    <row r="50" ht="14.25" customHeight="1" s="33"/>
    <row r="51" ht="14.25" customHeight="1" s="33"/>
    <row r="52" ht="14.25" customHeight="1" s="33"/>
    <row r="53" ht="14.25" customHeight="1" s="33"/>
    <row r="54" ht="14.25" customHeight="1" s="33"/>
    <row r="55" ht="14.25" customHeight="1" s="33"/>
    <row r="56" ht="14.25" customHeight="1" s="33"/>
    <row r="57" ht="14.25" customHeight="1" s="33"/>
    <row r="58" ht="14.25" customHeight="1" s="33"/>
    <row r="59" ht="14.25" customHeight="1" s="33"/>
    <row r="60" ht="14.25" customHeight="1" s="33"/>
    <row r="61" ht="14.25" customHeight="1" s="33"/>
    <row r="62" ht="14.25" customHeight="1" s="33"/>
    <row r="63" ht="14.25" customHeight="1" s="33"/>
    <row r="64" ht="14.25" customHeight="1" s="33"/>
    <row r="65" ht="14.25" customHeight="1" s="33"/>
    <row r="66" ht="14.25" customHeight="1" s="33"/>
    <row r="67" ht="14.25" customHeight="1" s="33"/>
    <row r="68" ht="14.25" customHeight="1" s="33"/>
    <row r="69" ht="14.25" customHeight="1" s="33"/>
    <row r="70" ht="14.25" customHeight="1" s="33"/>
    <row r="71" ht="14.25" customHeight="1" s="33"/>
    <row r="72" ht="14.25" customHeight="1" s="33"/>
    <row r="73" ht="14.25" customHeight="1" s="33"/>
    <row r="74" ht="14.25" customHeight="1" s="33"/>
    <row r="75" ht="14.25" customHeight="1" s="33"/>
    <row r="76" ht="14.25" customHeight="1" s="33"/>
    <row r="77" ht="14.25" customHeight="1" s="33"/>
    <row r="78" ht="14.25" customHeight="1" s="33"/>
    <row r="79" ht="14.25" customHeight="1" s="33"/>
    <row r="80" ht="14.25" customHeight="1" s="33"/>
    <row r="81" ht="14.25" customHeight="1" s="33"/>
    <row r="82" ht="14.25" customHeight="1" s="33"/>
    <row r="83" ht="14.25" customHeight="1" s="33"/>
    <row r="84" ht="14.25" customHeight="1" s="33"/>
    <row r="85" ht="14.25" customHeight="1" s="33"/>
    <row r="86" ht="14.25" customHeight="1" s="33"/>
    <row r="87" ht="14.25" customHeight="1" s="33"/>
    <row r="88" ht="14.25" customHeight="1" s="33"/>
    <row r="89" ht="14.25" customHeight="1" s="33"/>
    <row r="90" ht="14.25" customHeight="1" s="33"/>
    <row r="91" ht="14.25" customHeight="1" s="33"/>
    <row r="92" ht="14.25" customHeight="1" s="33"/>
    <row r="93" ht="14.25" customHeight="1" s="33"/>
    <row r="94" ht="14.25" customHeight="1" s="33"/>
    <row r="95" ht="14.25" customHeight="1" s="33"/>
    <row r="96" ht="14.25" customHeight="1" s="33"/>
    <row r="97" ht="14.25" customHeight="1" s="33"/>
    <row r="98" ht="14.25" customHeight="1" s="33"/>
    <row r="99" ht="14.25" customHeight="1" s="33"/>
    <row r="100" ht="14.25" customHeight="1" s="33"/>
    <row r="101" ht="14.25" customHeight="1" s="33"/>
    <row r="102" ht="14.25" customHeight="1" s="33"/>
    <row r="103" ht="14.25" customHeight="1" s="33"/>
    <row r="104" ht="14.25" customHeight="1" s="33"/>
    <row r="105" ht="14.25" customHeight="1" s="33"/>
    <row r="106" ht="14.25" customHeight="1" s="33"/>
    <row r="107" ht="14.25" customHeight="1" s="33"/>
    <row r="108" ht="14.25" customHeight="1" s="33"/>
    <row r="109" ht="14.25" customHeight="1" s="33"/>
    <row r="110" ht="14.25" customHeight="1" s="33"/>
    <row r="111" ht="14.25" customHeight="1" s="33"/>
    <row r="112" ht="14.25" customHeight="1" s="33"/>
    <row r="113" ht="14.25" customHeight="1" s="33"/>
    <row r="114" ht="14.25" customHeight="1" s="33"/>
    <row r="115" ht="14.25" customHeight="1" s="33"/>
    <row r="116" ht="14.25" customHeight="1" s="33"/>
    <row r="117" ht="14.25" customHeight="1" s="33"/>
    <row r="118" ht="14.25" customHeight="1" s="33"/>
    <row r="119" ht="14.25" customHeight="1" s="33"/>
    <row r="120" ht="14.25" customHeight="1" s="33"/>
    <row r="121" ht="14.25" customHeight="1" s="33"/>
    <row r="122" ht="14.25" customHeight="1" s="33"/>
    <row r="123" ht="14.25" customHeight="1" s="33"/>
    <row r="124" ht="14.25" customHeight="1" s="33"/>
    <row r="125" ht="14.25" customHeight="1" s="33"/>
    <row r="126" ht="14.25" customHeight="1" s="33"/>
    <row r="127" ht="14.25" customHeight="1" s="33"/>
    <row r="128" ht="14.25" customHeight="1" s="33"/>
    <row r="129" ht="14.25" customHeight="1" s="33"/>
    <row r="130" ht="14.25" customHeight="1" s="33"/>
    <row r="131" ht="14.25" customHeight="1" s="33"/>
    <row r="132" ht="14.25" customHeight="1" s="33"/>
    <row r="133" ht="14.25" customHeight="1" s="33"/>
    <row r="134" ht="14.25" customHeight="1" s="33"/>
    <row r="135" ht="14.25" customHeight="1" s="33"/>
    <row r="136" ht="14.25" customHeight="1" s="33"/>
    <row r="137" ht="14.25" customHeight="1" s="33"/>
    <row r="138" ht="14.25" customHeight="1" s="33"/>
    <row r="139" ht="14.25" customHeight="1" s="33"/>
    <row r="140" ht="14.25" customHeight="1" s="33"/>
    <row r="141" ht="14.25" customHeight="1" s="33"/>
    <row r="142" ht="14.25" customHeight="1" s="33"/>
    <row r="143" ht="14.25" customHeight="1" s="33"/>
    <row r="144" ht="14.25" customHeight="1" s="33"/>
    <row r="145" ht="14.25" customHeight="1" s="33"/>
    <row r="146" ht="14.25" customHeight="1" s="33"/>
    <row r="147" ht="14.25" customHeight="1" s="33"/>
    <row r="148" ht="14.25" customHeight="1" s="33"/>
    <row r="149" ht="14.25" customHeight="1" s="33"/>
    <row r="150" ht="14.25" customHeight="1" s="33"/>
    <row r="151" ht="14.25" customHeight="1" s="33"/>
    <row r="152" ht="14.25" customHeight="1" s="33"/>
    <row r="153" ht="14.25" customHeight="1" s="33"/>
    <row r="154" ht="14.25" customHeight="1" s="33"/>
    <row r="155" ht="14.25" customHeight="1" s="33"/>
    <row r="156" ht="14.25" customHeight="1" s="33"/>
    <row r="157" ht="14.25" customHeight="1" s="33"/>
    <row r="158" ht="14.25" customHeight="1" s="33"/>
    <row r="159" ht="14.25" customHeight="1" s="33"/>
    <row r="160" ht="14.25" customHeight="1" s="33"/>
    <row r="161" ht="14.25" customHeight="1" s="33"/>
    <row r="162" ht="14.25" customHeight="1" s="33"/>
    <row r="163" ht="14.25" customHeight="1" s="33"/>
    <row r="164" ht="14.25" customHeight="1" s="33"/>
    <row r="165" ht="14.25" customHeight="1" s="33"/>
    <row r="166" ht="14.25" customHeight="1" s="33"/>
    <row r="167" ht="14.25" customHeight="1" s="33"/>
    <row r="168" ht="14.25" customHeight="1" s="33"/>
    <row r="169" ht="14.25" customHeight="1" s="33"/>
    <row r="170" ht="14.25" customHeight="1" s="33"/>
    <row r="171" ht="14.25" customHeight="1" s="33"/>
    <row r="172" ht="14.25" customHeight="1" s="33"/>
    <row r="173" ht="14.25" customHeight="1" s="33"/>
    <row r="174" ht="14.25" customHeight="1" s="33"/>
    <row r="175" ht="14.25" customHeight="1" s="33"/>
    <row r="176" ht="14.25" customHeight="1" s="33"/>
    <row r="177" ht="14.25" customHeight="1" s="33"/>
    <row r="178" ht="14.25" customHeight="1" s="33"/>
    <row r="179" ht="14.25" customHeight="1" s="33"/>
    <row r="180" ht="14.25" customHeight="1" s="33"/>
    <row r="181" ht="14.25" customHeight="1" s="33"/>
    <row r="182" ht="14.25" customHeight="1" s="33"/>
    <row r="183" ht="14.25" customHeight="1" s="33"/>
    <row r="184" ht="14.25" customHeight="1" s="33"/>
    <row r="185" ht="14.25" customHeight="1" s="33"/>
    <row r="186" ht="14.25" customHeight="1" s="33"/>
    <row r="187" ht="14.25" customHeight="1" s="33"/>
    <row r="188" ht="14.25" customHeight="1" s="33"/>
    <row r="189" ht="14.25" customHeight="1" s="33"/>
    <row r="190" ht="14.25" customHeight="1" s="33"/>
    <row r="191" ht="14.25" customHeight="1" s="33"/>
    <row r="192" ht="14.25" customHeight="1" s="33"/>
    <row r="193" ht="14.25" customHeight="1" s="33"/>
    <row r="194" ht="14.25" customHeight="1" s="33"/>
    <row r="195" ht="14.25" customHeight="1" s="33"/>
    <row r="196" ht="14.25" customHeight="1" s="33"/>
    <row r="197" ht="14.25" customHeight="1" s="33"/>
    <row r="198" ht="14.25" customHeight="1" s="33"/>
    <row r="199" ht="14.25" customHeight="1" s="33"/>
    <row r="200" ht="14.25" customHeight="1" s="33"/>
    <row r="201" ht="14.25" customHeight="1" s="33"/>
    <row r="202" ht="14.25" customHeight="1" s="33"/>
    <row r="203" ht="14.25" customHeight="1" s="33"/>
    <row r="204" ht="14.25" customHeight="1" s="33"/>
    <row r="205" ht="14.25" customHeight="1" s="33"/>
    <row r="206" ht="14.25" customHeight="1" s="33"/>
    <row r="207" ht="14.25" customHeight="1" s="33"/>
    <row r="208" ht="14.25" customHeight="1" s="33"/>
    <row r="209" ht="14.25" customHeight="1" s="33"/>
    <row r="210" ht="14.25" customHeight="1" s="33"/>
    <row r="211" ht="14.25" customHeight="1" s="33"/>
    <row r="212" ht="14.25" customHeight="1" s="33"/>
    <row r="213" ht="14.25" customHeight="1" s="33"/>
    <row r="214" ht="14.25" customHeight="1" s="33"/>
    <row r="215" ht="14.25" customHeight="1" s="33"/>
    <row r="216" ht="14.25" customHeight="1" s="33"/>
    <row r="217" ht="14.25" customHeight="1" s="33"/>
    <row r="218" ht="14.25" customHeight="1" s="33"/>
    <row r="219" ht="14.25" customHeight="1" s="33"/>
    <row r="220" ht="14.25" customHeight="1" s="33"/>
    <row r="221" ht="14.25" customHeight="1" s="33"/>
    <row r="222" ht="14.25" customHeight="1" s="33"/>
    <row r="223" ht="14.25" customHeight="1" s="33"/>
    <row r="224" ht="14.25" customHeight="1" s="33"/>
    <row r="225" ht="14.25" customHeight="1" s="33"/>
    <row r="226" ht="14.25" customHeight="1" s="33"/>
    <row r="227" ht="14.25" customHeight="1" s="33"/>
    <row r="228" ht="14.25" customHeight="1" s="33"/>
    <row r="229" ht="14.25" customHeight="1" s="33"/>
    <row r="230" ht="14.25" customHeight="1" s="33"/>
    <row r="231" ht="14.25" customHeight="1" s="33"/>
    <row r="232" ht="14.25" customHeight="1" s="33"/>
    <row r="233" ht="14.25" customHeight="1" s="33"/>
    <row r="234" ht="14.25" customHeight="1" s="33"/>
    <row r="235" ht="14.25" customHeight="1" s="33"/>
    <row r="236" ht="14.25" customHeight="1" s="33"/>
    <row r="237" ht="14.25" customHeight="1" s="33"/>
    <row r="238" ht="14.25" customHeight="1" s="33"/>
    <row r="239" ht="14.25" customHeight="1" s="33"/>
    <row r="240" ht="14.25" customHeight="1" s="33"/>
    <row r="241" ht="14.25" customHeight="1" s="33"/>
    <row r="242" ht="14.25" customHeight="1" s="33"/>
    <row r="243" ht="14.25" customHeight="1" s="33"/>
    <row r="244" ht="14.25" customHeight="1" s="33"/>
    <row r="245" ht="14.25" customHeight="1" s="33"/>
    <row r="246" ht="14.25" customHeight="1" s="33"/>
    <row r="247" ht="14.25" customHeight="1" s="33"/>
    <row r="248" ht="14.25" customHeight="1" s="33"/>
    <row r="249" ht="14.25" customHeight="1" s="33"/>
    <row r="250" ht="14.25" customHeight="1" s="33"/>
    <row r="251" ht="14.25" customHeight="1" s="33"/>
    <row r="252" ht="14.25" customHeight="1" s="33"/>
    <row r="253" ht="14.25" customHeight="1" s="33"/>
    <row r="254" ht="14.25" customHeight="1" s="33"/>
    <row r="255" ht="14.25" customHeight="1" s="33"/>
    <row r="256" ht="14.25" customHeight="1" s="33"/>
    <row r="257" ht="14.25" customHeight="1" s="33"/>
    <row r="258" ht="14.25" customHeight="1" s="33"/>
    <row r="259" ht="14.25" customHeight="1" s="33"/>
    <row r="260" ht="14.25" customHeight="1" s="33"/>
    <row r="261" ht="14.25" customHeight="1" s="33"/>
    <row r="262" ht="14.25" customHeight="1" s="33"/>
    <row r="263" ht="14.25" customHeight="1" s="33"/>
    <row r="264" ht="14.25" customHeight="1" s="33"/>
    <row r="265" ht="14.25" customHeight="1" s="33"/>
    <row r="266" ht="14.25" customHeight="1" s="33"/>
    <row r="267" ht="14.25" customHeight="1" s="33"/>
    <row r="268" ht="14.25" customHeight="1" s="33"/>
    <row r="269" ht="14.25" customHeight="1" s="33"/>
    <row r="270" ht="14.25" customHeight="1" s="33"/>
    <row r="271" ht="14.25" customHeight="1" s="33"/>
    <row r="272" ht="14.25" customHeight="1" s="33"/>
    <row r="273" ht="14.25" customHeight="1" s="33"/>
    <row r="274" ht="14.25" customHeight="1" s="33"/>
    <row r="275" ht="14.25" customHeight="1" s="33"/>
    <row r="276" ht="14.25" customHeight="1" s="33"/>
    <row r="277" ht="14.25" customHeight="1" s="33"/>
    <row r="278" ht="14.25" customHeight="1" s="33"/>
    <row r="279" ht="14.25" customHeight="1" s="33"/>
    <row r="280" ht="14.25" customHeight="1" s="33"/>
    <row r="281" ht="14.25" customHeight="1" s="33"/>
    <row r="282" ht="14.25" customHeight="1" s="33"/>
    <row r="283" ht="14.25" customHeight="1" s="33"/>
    <row r="284" ht="14.25" customHeight="1" s="33"/>
    <row r="285" ht="14.25" customHeight="1" s="33"/>
    <row r="286" ht="14.25" customHeight="1" s="33"/>
    <row r="287" ht="14.25" customHeight="1" s="33"/>
    <row r="288" ht="14.25" customHeight="1" s="33"/>
    <row r="289" ht="14.25" customHeight="1" s="33"/>
    <row r="290" ht="14.25" customHeight="1" s="33"/>
    <row r="291" ht="14.25" customHeight="1" s="33"/>
    <row r="292" ht="14.25" customHeight="1" s="33"/>
    <row r="293" ht="14.25" customHeight="1" s="33"/>
    <row r="294" ht="14.25" customHeight="1" s="33"/>
    <row r="295" ht="14.25" customHeight="1" s="33"/>
    <row r="296" ht="14.25" customHeight="1" s="33"/>
    <row r="297" ht="14.25" customHeight="1" s="33"/>
    <row r="298" ht="14.25" customHeight="1" s="33"/>
    <row r="299" ht="14.25" customHeight="1" s="33"/>
    <row r="300" ht="14.25" customHeight="1" s="33"/>
    <row r="301" ht="14.25" customHeight="1" s="33"/>
    <row r="302" ht="14.25" customHeight="1" s="33"/>
    <row r="303" ht="14.25" customHeight="1" s="33"/>
    <row r="304" ht="14.25" customHeight="1" s="33"/>
    <row r="305" ht="14.25" customHeight="1" s="33"/>
    <row r="306" ht="14.25" customHeight="1" s="33"/>
    <row r="307" ht="14.25" customHeight="1" s="33"/>
    <row r="308" ht="14.25" customHeight="1" s="33"/>
    <row r="309" ht="14.25" customHeight="1" s="33"/>
    <row r="310" ht="14.25" customHeight="1" s="33"/>
    <row r="311" ht="14.25" customHeight="1" s="33"/>
    <row r="312" ht="14.25" customHeight="1" s="33"/>
    <row r="313" ht="14.25" customHeight="1" s="33"/>
    <row r="314" ht="14.25" customHeight="1" s="33"/>
    <row r="315" ht="14.25" customHeight="1" s="33"/>
    <row r="316" ht="14.25" customHeight="1" s="33"/>
    <row r="317" ht="14.25" customHeight="1" s="33"/>
    <row r="318" ht="14.25" customHeight="1" s="33"/>
    <row r="319" ht="14.25" customHeight="1" s="33"/>
    <row r="320" ht="14.25" customHeight="1" s="33"/>
    <row r="321" ht="14.25" customHeight="1" s="33"/>
    <row r="322" ht="14.25" customHeight="1" s="33"/>
    <row r="323" ht="14.25" customHeight="1" s="33"/>
    <row r="324" ht="14.25" customHeight="1" s="33"/>
    <row r="325" ht="14.25" customHeight="1" s="33"/>
    <row r="326" ht="14.25" customHeight="1" s="33"/>
    <row r="327" ht="14.25" customHeight="1" s="33"/>
    <row r="328" ht="14.25" customHeight="1" s="33"/>
    <row r="329" ht="14.25" customHeight="1" s="33"/>
    <row r="330" ht="14.25" customHeight="1" s="33"/>
    <row r="331" ht="14.25" customHeight="1" s="33"/>
    <row r="332" ht="14.25" customHeight="1" s="33"/>
    <row r="333" ht="14.25" customHeight="1" s="33"/>
    <row r="334" ht="14.25" customHeight="1" s="33"/>
    <row r="335" ht="14.25" customHeight="1" s="33"/>
    <row r="336" ht="14.25" customHeight="1" s="33"/>
    <row r="337" ht="14.25" customHeight="1" s="33"/>
    <row r="338" ht="14.25" customHeight="1" s="33"/>
    <row r="339" ht="14.25" customHeight="1" s="33"/>
    <row r="340" ht="14.25" customHeight="1" s="33"/>
    <row r="341" ht="14.25" customHeight="1" s="33"/>
    <row r="342" ht="14.25" customHeight="1" s="33"/>
    <row r="343" ht="14.25" customHeight="1" s="33"/>
    <row r="344" ht="14.25" customHeight="1" s="33"/>
    <row r="345" ht="14.25" customHeight="1" s="33"/>
    <row r="346" ht="14.25" customHeight="1" s="33"/>
    <row r="347" ht="14.25" customHeight="1" s="33"/>
    <row r="348" ht="14.25" customHeight="1" s="33"/>
    <row r="349" ht="14.25" customHeight="1" s="33"/>
    <row r="350" ht="14.25" customHeight="1" s="33"/>
    <row r="351" ht="14.25" customHeight="1" s="33"/>
    <row r="352" ht="14.25" customHeight="1" s="33"/>
    <row r="353" ht="14.25" customHeight="1" s="33"/>
    <row r="354" ht="14.25" customHeight="1" s="33"/>
    <row r="355" ht="14.25" customHeight="1" s="33"/>
    <row r="356" ht="14.25" customHeight="1" s="33"/>
    <row r="357" ht="14.25" customHeight="1" s="33"/>
    <row r="358" ht="14.25" customHeight="1" s="33"/>
    <row r="359" ht="14.25" customHeight="1" s="33"/>
    <row r="360" ht="14.25" customHeight="1" s="33"/>
    <row r="361" ht="14.25" customHeight="1" s="33"/>
    <row r="362" ht="14.25" customHeight="1" s="33"/>
    <row r="363" ht="14.25" customHeight="1" s="33"/>
    <row r="364" ht="14.25" customHeight="1" s="33"/>
    <row r="365" ht="14.25" customHeight="1" s="33"/>
    <row r="366" ht="14.25" customHeight="1" s="33"/>
    <row r="367" ht="14.25" customHeight="1" s="33"/>
    <row r="368" ht="14.25" customHeight="1" s="33"/>
    <row r="369" ht="14.25" customHeight="1" s="33"/>
    <row r="370" ht="14.25" customHeight="1" s="33"/>
    <row r="371" ht="14.25" customHeight="1" s="33"/>
    <row r="372" ht="14.25" customHeight="1" s="33"/>
    <row r="373" ht="14.25" customHeight="1" s="33"/>
    <row r="374" ht="14.25" customHeight="1" s="33"/>
    <row r="375" ht="14.25" customHeight="1" s="33"/>
    <row r="376" ht="14.25" customHeight="1" s="33"/>
    <row r="377" ht="14.25" customHeight="1" s="33"/>
    <row r="378" ht="14.25" customHeight="1" s="33"/>
    <row r="379" ht="14.25" customHeight="1" s="33"/>
    <row r="380" ht="14.25" customHeight="1" s="33"/>
    <row r="381" ht="14.25" customHeight="1" s="33"/>
    <row r="382" ht="14.25" customHeight="1" s="33"/>
    <row r="383" ht="14.25" customHeight="1" s="33"/>
    <row r="384" ht="14.25" customHeight="1" s="33"/>
    <row r="385" ht="14.25" customHeight="1" s="33"/>
    <row r="386" ht="14.25" customHeight="1" s="33"/>
    <row r="387" ht="14.25" customHeight="1" s="33"/>
    <row r="388" ht="14.25" customHeight="1" s="33"/>
    <row r="389" ht="14.25" customHeight="1" s="33"/>
    <row r="390" ht="14.25" customHeight="1" s="33"/>
    <row r="391" ht="14.25" customHeight="1" s="33"/>
    <row r="392" ht="14.25" customHeight="1" s="33"/>
    <row r="393" ht="14.25" customHeight="1" s="33"/>
    <row r="394" ht="14.25" customHeight="1" s="33"/>
    <row r="395" ht="14.25" customHeight="1" s="33"/>
    <row r="396" ht="14.25" customHeight="1" s="33"/>
    <row r="397" ht="14.25" customHeight="1" s="33"/>
    <row r="398" ht="14.25" customHeight="1" s="33"/>
    <row r="399" ht="14.25" customHeight="1" s="33"/>
    <row r="400" ht="14.25" customHeight="1" s="33"/>
    <row r="401" ht="14.25" customHeight="1" s="33"/>
    <row r="402" ht="14.25" customHeight="1" s="33"/>
    <row r="403" ht="14.25" customHeight="1" s="33"/>
    <row r="404" ht="14.25" customHeight="1" s="33"/>
    <row r="405" ht="14.25" customHeight="1" s="33"/>
    <row r="406" ht="14.25" customHeight="1" s="33"/>
    <row r="407" ht="14.25" customHeight="1" s="33"/>
    <row r="408" ht="14.25" customHeight="1" s="33"/>
    <row r="409" ht="14.25" customHeight="1" s="33"/>
    <row r="410" ht="14.25" customHeight="1" s="33"/>
    <row r="411" ht="14.25" customHeight="1" s="33"/>
    <row r="412" ht="14.25" customHeight="1" s="33"/>
    <row r="413" ht="14.25" customHeight="1" s="33"/>
    <row r="414" ht="14.25" customHeight="1" s="33"/>
    <row r="415" ht="14.25" customHeight="1" s="33"/>
    <row r="416" ht="14.25" customHeight="1" s="33"/>
    <row r="417" ht="14.25" customHeight="1" s="33"/>
    <row r="418" ht="14.25" customHeight="1" s="33"/>
    <row r="419" ht="14.25" customHeight="1" s="33"/>
    <row r="420" ht="14.25" customHeight="1" s="33"/>
    <row r="421" ht="14.25" customHeight="1" s="33"/>
    <row r="422" ht="14.25" customHeight="1" s="33"/>
    <row r="423" ht="14.25" customHeight="1" s="33"/>
    <row r="424" ht="14.25" customHeight="1" s="33"/>
    <row r="425" ht="14.25" customHeight="1" s="33"/>
    <row r="426" ht="14.25" customHeight="1" s="33"/>
    <row r="427" ht="14.25" customHeight="1" s="33"/>
    <row r="428" ht="14.25" customHeight="1" s="33"/>
    <row r="429" ht="14.25" customHeight="1" s="33"/>
    <row r="430" ht="14.25" customHeight="1" s="33"/>
    <row r="431" ht="14.25" customHeight="1" s="33"/>
    <row r="432" ht="14.25" customHeight="1" s="33"/>
    <row r="433" ht="14.25" customHeight="1" s="33"/>
    <row r="434" ht="14.25" customHeight="1" s="33"/>
    <row r="435" ht="14.25" customHeight="1" s="33"/>
    <row r="436" ht="14.25" customHeight="1" s="33"/>
    <row r="437" ht="14.25" customHeight="1" s="33"/>
    <row r="438" ht="14.25" customHeight="1" s="33"/>
    <row r="439" ht="14.25" customHeight="1" s="33"/>
    <row r="440" ht="14.25" customHeight="1" s="33"/>
    <row r="441" ht="14.25" customHeight="1" s="33"/>
    <row r="442" ht="14.25" customHeight="1" s="33"/>
    <row r="443" ht="14.25" customHeight="1" s="33"/>
    <row r="444" ht="14.25" customHeight="1" s="33"/>
    <row r="445" ht="14.25" customHeight="1" s="33"/>
    <row r="446" ht="14.25" customHeight="1" s="33"/>
    <row r="447" ht="14.25" customHeight="1" s="33"/>
    <row r="448" ht="14.25" customHeight="1" s="33"/>
    <row r="449" ht="14.25" customHeight="1" s="33"/>
    <row r="450" ht="14.25" customHeight="1" s="33"/>
    <row r="451" ht="14.25" customHeight="1" s="33"/>
    <row r="452" ht="14.25" customHeight="1" s="33"/>
    <row r="453" ht="14.25" customHeight="1" s="33"/>
    <row r="454" ht="14.25" customHeight="1" s="33"/>
    <row r="455" ht="14.25" customHeight="1" s="33"/>
    <row r="456" ht="14.25" customHeight="1" s="33"/>
    <row r="457" ht="14.25" customHeight="1" s="33"/>
    <row r="458" ht="14.25" customHeight="1" s="33"/>
    <row r="459" ht="14.25" customHeight="1" s="33"/>
    <row r="460" ht="14.25" customHeight="1" s="33"/>
    <row r="461" ht="14.25" customHeight="1" s="33"/>
    <row r="462" ht="14.25" customHeight="1" s="33"/>
    <row r="463" ht="14.25" customHeight="1" s="33"/>
    <row r="464" ht="14.25" customHeight="1" s="33"/>
    <row r="465" ht="14.25" customHeight="1" s="33"/>
    <row r="466" ht="14.25" customHeight="1" s="33"/>
    <row r="467" ht="14.25" customHeight="1" s="33"/>
    <row r="468" ht="14.25" customHeight="1" s="33"/>
    <row r="469" ht="14.25" customHeight="1" s="33"/>
    <row r="470" ht="14.25" customHeight="1" s="33"/>
    <row r="471" ht="14.25" customHeight="1" s="33"/>
    <row r="472" ht="14.25" customHeight="1" s="33"/>
    <row r="473" ht="14.25" customHeight="1" s="33"/>
    <row r="474" ht="14.25" customHeight="1" s="33"/>
    <row r="475" ht="14.25" customHeight="1" s="33"/>
    <row r="476" ht="14.25" customHeight="1" s="33"/>
    <row r="477" ht="14.25" customHeight="1" s="33"/>
    <row r="478" ht="14.25" customHeight="1" s="33"/>
    <row r="479" ht="14.25" customHeight="1" s="33"/>
    <row r="480" ht="14.25" customHeight="1" s="33"/>
    <row r="481" ht="14.25" customHeight="1" s="33"/>
    <row r="482" ht="14.25" customHeight="1" s="33"/>
    <row r="483" ht="14.25" customHeight="1" s="33"/>
    <row r="484" ht="14.25" customHeight="1" s="33"/>
    <row r="485" ht="14.25" customHeight="1" s="33"/>
    <row r="486" ht="14.25" customHeight="1" s="33"/>
    <row r="487" ht="14.25" customHeight="1" s="33"/>
    <row r="488" ht="14.25" customHeight="1" s="33"/>
    <row r="489" ht="14.25" customHeight="1" s="33"/>
    <row r="490" ht="14.25" customHeight="1" s="33"/>
    <row r="491" ht="14.25" customHeight="1" s="33"/>
    <row r="492" ht="14.25" customHeight="1" s="33"/>
    <row r="493" ht="14.25" customHeight="1" s="33"/>
    <row r="494" ht="14.25" customHeight="1" s="33"/>
    <row r="495" ht="14.25" customHeight="1" s="33"/>
    <row r="496" ht="14.25" customHeight="1" s="33"/>
    <row r="497" ht="14.25" customHeight="1" s="33"/>
    <row r="498" ht="14.25" customHeight="1" s="33"/>
    <row r="499" ht="14.25" customHeight="1" s="33"/>
    <row r="500" ht="14.25" customHeight="1" s="33"/>
    <row r="501" ht="14.25" customHeight="1" s="33"/>
    <row r="502" ht="14.25" customHeight="1" s="33"/>
    <row r="503" ht="14.25" customHeight="1" s="33"/>
    <row r="504" ht="14.25" customHeight="1" s="33"/>
    <row r="505" ht="14.25" customHeight="1" s="33"/>
    <row r="506" ht="14.25" customHeight="1" s="33"/>
    <row r="507" ht="14.25" customHeight="1" s="33"/>
    <row r="508" ht="14.25" customHeight="1" s="33"/>
    <row r="509" ht="14.25" customHeight="1" s="33"/>
    <row r="510" ht="14.25" customHeight="1" s="33"/>
    <row r="511" ht="14.25" customHeight="1" s="33"/>
    <row r="512" ht="14.25" customHeight="1" s="33"/>
    <row r="513" ht="14.25" customHeight="1" s="33"/>
    <row r="514" ht="14.25" customHeight="1" s="33"/>
    <row r="515" ht="14.25" customHeight="1" s="33"/>
    <row r="516" ht="14.25" customHeight="1" s="33"/>
    <row r="517" ht="14.25" customHeight="1" s="33"/>
    <row r="518" ht="14.25" customHeight="1" s="33"/>
    <row r="519" ht="14.25" customHeight="1" s="33"/>
    <row r="520" ht="14.25" customHeight="1" s="33"/>
    <row r="521" ht="14.25" customHeight="1" s="33"/>
    <row r="522" ht="14.25" customHeight="1" s="33"/>
    <row r="523" ht="14.25" customHeight="1" s="33"/>
    <row r="524" ht="14.25" customHeight="1" s="33"/>
    <row r="525" ht="14.25" customHeight="1" s="33"/>
    <row r="526" ht="14.25" customHeight="1" s="33"/>
    <row r="527" ht="14.25" customHeight="1" s="33"/>
    <row r="528" ht="14.25" customHeight="1" s="33"/>
    <row r="529" ht="14.25" customHeight="1" s="33"/>
    <row r="530" ht="14.25" customHeight="1" s="33"/>
    <row r="531" ht="14.25" customHeight="1" s="33"/>
    <row r="532" ht="14.25" customHeight="1" s="33"/>
    <row r="533" ht="14.25" customHeight="1" s="33"/>
    <row r="534" ht="14.25" customHeight="1" s="33"/>
    <row r="535" ht="14.25" customHeight="1" s="33"/>
    <row r="536" ht="14.25" customHeight="1" s="33"/>
    <row r="537" ht="14.25" customHeight="1" s="33"/>
    <row r="538" ht="14.25" customHeight="1" s="33"/>
    <row r="539" ht="14.25" customHeight="1" s="33"/>
    <row r="540" ht="14.25" customHeight="1" s="33"/>
    <row r="541" ht="14.25" customHeight="1" s="33"/>
    <row r="542" ht="14.25" customHeight="1" s="33"/>
    <row r="543" ht="14.25" customHeight="1" s="33"/>
    <row r="544" ht="14.25" customHeight="1" s="33"/>
    <row r="545" ht="14.25" customHeight="1" s="33"/>
    <row r="546" ht="14.25" customHeight="1" s="33"/>
    <row r="547" ht="14.25" customHeight="1" s="33"/>
    <row r="548" ht="14.25" customHeight="1" s="33"/>
    <row r="549" ht="14.25" customHeight="1" s="33"/>
    <row r="550" ht="14.25" customHeight="1" s="33"/>
    <row r="551" ht="14.25" customHeight="1" s="33"/>
    <row r="552" ht="14.25" customHeight="1" s="33"/>
    <row r="553" ht="14.25" customHeight="1" s="33"/>
    <row r="554" ht="14.25" customHeight="1" s="33"/>
    <row r="555" ht="14.25" customHeight="1" s="33"/>
    <row r="556" ht="14.25" customHeight="1" s="33"/>
    <row r="557" ht="14.25" customHeight="1" s="33"/>
    <row r="558" ht="14.25" customHeight="1" s="33"/>
    <row r="559" ht="14.25" customHeight="1" s="33"/>
    <row r="560" ht="14.25" customHeight="1" s="33"/>
    <row r="561" ht="14.25" customHeight="1" s="33"/>
    <row r="562" ht="14.25" customHeight="1" s="33"/>
    <row r="563" ht="14.25" customHeight="1" s="33"/>
    <row r="564" ht="14.25" customHeight="1" s="33"/>
    <row r="565" ht="14.25" customHeight="1" s="33"/>
    <row r="566" ht="14.25" customHeight="1" s="33"/>
    <row r="567" ht="14.25" customHeight="1" s="33"/>
    <row r="568" ht="14.25" customHeight="1" s="33"/>
    <row r="569" ht="14.25" customHeight="1" s="33"/>
    <row r="570" ht="14.25" customHeight="1" s="33"/>
    <row r="571" ht="14.25" customHeight="1" s="33"/>
    <row r="572" ht="14.25" customHeight="1" s="33"/>
    <row r="573" ht="14.25" customHeight="1" s="33"/>
    <row r="574" ht="14.25" customHeight="1" s="33"/>
    <row r="575" ht="14.25" customHeight="1" s="33"/>
    <row r="576" ht="14.25" customHeight="1" s="33"/>
    <row r="577" ht="14.25" customHeight="1" s="33"/>
    <row r="578" ht="14.25" customHeight="1" s="33"/>
    <row r="579" ht="14.25" customHeight="1" s="33"/>
    <row r="580" ht="14.25" customHeight="1" s="33"/>
    <row r="581" ht="14.25" customHeight="1" s="33"/>
    <row r="582" ht="14.25" customHeight="1" s="33"/>
    <row r="583" ht="14.25" customHeight="1" s="33"/>
    <row r="584" ht="14.25" customHeight="1" s="33"/>
    <row r="585" ht="14.25" customHeight="1" s="33"/>
    <row r="586" ht="14.25" customHeight="1" s="33"/>
    <row r="587" ht="14.25" customHeight="1" s="33"/>
    <row r="588" ht="14.25" customHeight="1" s="33"/>
    <row r="589" ht="14.25" customHeight="1" s="33"/>
    <row r="590" ht="14.25" customHeight="1" s="33"/>
    <row r="591" ht="14.25" customHeight="1" s="33"/>
    <row r="592" ht="14.25" customHeight="1" s="33"/>
    <row r="593" ht="14.25" customHeight="1" s="33"/>
    <row r="594" ht="14.25" customHeight="1" s="33"/>
    <row r="595" ht="14.25" customHeight="1" s="33"/>
    <row r="596" ht="14.25" customHeight="1" s="33"/>
    <row r="597" ht="14.25" customHeight="1" s="33"/>
    <row r="598" ht="14.25" customHeight="1" s="33"/>
    <row r="599" ht="14.25" customHeight="1" s="33"/>
    <row r="600" ht="14.25" customHeight="1" s="33"/>
    <row r="601" ht="14.25" customHeight="1" s="33"/>
    <row r="602" ht="14.25" customHeight="1" s="33"/>
    <row r="603" ht="14.25" customHeight="1" s="33"/>
    <row r="604" ht="14.25" customHeight="1" s="33"/>
    <row r="605" ht="14.25" customHeight="1" s="33"/>
    <row r="606" ht="14.25" customHeight="1" s="33"/>
    <row r="607" ht="14.25" customHeight="1" s="33"/>
    <row r="608" ht="14.25" customHeight="1" s="33"/>
    <row r="609" ht="14.25" customHeight="1" s="33"/>
    <row r="610" ht="14.25" customHeight="1" s="33"/>
    <row r="611" ht="14.25" customHeight="1" s="33"/>
    <row r="612" ht="14.25" customHeight="1" s="33"/>
    <row r="613" ht="14.25" customHeight="1" s="33"/>
    <row r="614" ht="14.25" customHeight="1" s="33"/>
    <row r="615" ht="14.25" customHeight="1" s="33"/>
    <row r="616" ht="14.25" customHeight="1" s="33"/>
    <row r="617" ht="14.25" customHeight="1" s="33"/>
    <row r="618" ht="14.25" customHeight="1" s="33"/>
    <row r="619" ht="14.25" customHeight="1" s="33"/>
    <row r="620" ht="14.25" customHeight="1" s="33"/>
    <row r="621" ht="14.25" customHeight="1" s="33"/>
    <row r="622" ht="14.25" customHeight="1" s="33"/>
    <row r="623" ht="14.25" customHeight="1" s="33"/>
    <row r="624" ht="14.25" customHeight="1" s="33"/>
    <row r="625" ht="14.25" customHeight="1" s="33"/>
    <row r="626" ht="14.25" customHeight="1" s="33"/>
    <row r="627" ht="14.25" customHeight="1" s="33"/>
    <row r="628" ht="14.25" customHeight="1" s="33"/>
    <row r="629" ht="14.25" customHeight="1" s="33"/>
    <row r="630" ht="14.25" customHeight="1" s="33"/>
    <row r="631" ht="14.25" customHeight="1" s="33"/>
    <row r="632" ht="14.25" customHeight="1" s="33"/>
    <row r="633" ht="14.25" customHeight="1" s="33"/>
    <row r="634" ht="14.25" customHeight="1" s="33"/>
    <row r="635" ht="14.25" customHeight="1" s="33"/>
    <row r="636" ht="14.25" customHeight="1" s="33"/>
    <row r="637" ht="14.25" customHeight="1" s="33"/>
    <row r="638" ht="14.25" customHeight="1" s="33"/>
    <row r="639" ht="14.25" customHeight="1" s="33"/>
    <row r="640" ht="14.25" customHeight="1" s="33"/>
    <row r="641" ht="14.25" customHeight="1" s="33"/>
    <row r="642" ht="14.25" customHeight="1" s="33"/>
    <row r="643" ht="14.25" customHeight="1" s="33"/>
    <row r="644" ht="14.25" customHeight="1" s="33"/>
    <row r="645" ht="14.25" customHeight="1" s="33"/>
    <row r="646" ht="14.25" customHeight="1" s="33"/>
    <row r="647" ht="14.25" customHeight="1" s="33"/>
    <row r="648" ht="14.25" customHeight="1" s="33"/>
    <row r="649" ht="14.25" customHeight="1" s="33"/>
    <row r="650" ht="14.25" customHeight="1" s="33"/>
    <row r="651" ht="14.25" customHeight="1" s="33"/>
    <row r="652" ht="14.25" customHeight="1" s="33"/>
    <row r="653" ht="14.25" customHeight="1" s="33"/>
    <row r="654" ht="14.25" customHeight="1" s="33"/>
    <row r="655" ht="14.25" customHeight="1" s="33"/>
    <row r="656" ht="14.25" customHeight="1" s="33"/>
    <row r="657" ht="14.25" customHeight="1" s="33"/>
    <row r="658" ht="14.25" customHeight="1" s="33"/>
    <row r="659" ht="14.25" customHeight="1" s="33"/>
    <row r="660" ht="14.25" customHeight="1" s="33"/>
    <row r="661" ht="14.25" customHeight="1" s="33"/>
    <row r="662" ht="14.25" customHeight="1" s="33"/>
    <row r="663" ht="14.25" customHeight="1" s="33"/>
    <row r="664" ht="14.25" customHeight="1" s="33"/>
    <row r="665" ht="14.25" customHeight="1" s="33"/>
    <row r="666" ht="14.25" customHeight="1" s="33"/>
    <row r="667" ht="14.25" customHeight="1" s="33"/>
    <row r="668" ht="14.25" customHeight="1" s="33"/>
    <row r="669" ht="14.25" customHeight="1" s="33"/>
    <row r="670" ht="14.25" customHeight="1" s="33"/>
    <row r="671" ht="14.25" customHeight="1" s="33"/>
    <row r="672" ht="14.25" customHeight="1" s="33"/>
    <row r="673" ht="14.25" customHeight="1" s="33"/>
    <row r="674" ht="14.25" customHeight="1" s="33"/>
    <row r="675" ht="14.25" customHeight="1" s="33"/>
    <row r="676" ht="14.25" customHeight="1" s="33"/>
    <row r="677" ht="14.25" customHeight="1" s="33"/>
    <row r="678" ht="14.25" customHeight="1" s="33"/>
    <row r="679" ht="14.25" customHeight="1" s="33"/>
    <row r="680" ht="14.25" customHeight="1" s="33"/>
    <row r="681" ht="14.25" customHeight="1" s="33"/>
    <row r="682" ht="14.25" customHeight="1" s="33"/>
    <row r="683" ht="14.25" customHeight="1" s="33"/>
    <row r="684" ht="14.25" customHeight="1" s="33"/>
    <row r="685" ht="14.25" customHeight="1" s="33"/>
    <row r="686" ht="14.25" customHeight="1" s="33"/>
    <row r="687" ht="14.25" customHeight="1" s="33"/>
    <row r="688" ht="14.25" customHeight="1" s="33"/>
    <row r="689" ht="14.25" customHeight="1" s="33"/>
    <row r="690" ht="14.25" customHeight="1" s="33"/>
    <row r="691" ht="14.25" customHeight="1" s="33"/>
    <row r="692" ht="14.25" customHeight="1" s="33"/>
    <row r="693" ht="14.25" customHeight="1" s="33"/>
    <row r="694" ht="14.25" customHeight="1" s="33"/>
    <row r="695" ht="14.25" customHeight="1" s="33"/>
    <row r="696" ht="14.25" customHeight="1" s="33"/>
    <row r="697" ht="14.25" customHeight="1" s="33"/>
    <row r="698" ht="14.25" customHeight="1" s="33"/>
    <row r="699" ht="14.25" customHeight="1" s="33"/>
    <row r="700" ht="14.25" customHeight="1" s="33"/>
    <row r="701" ht="14.25" customHeight="1" s="33"/>
    <row r="702" ht="14.25" customHeight="1" s="33"/>
    <row r="703" ht="14.25" customHeight="1" s="33"/>
    <row r="704" ht="14.25" customHeight="1" s="33"/>
    <row r="705" ht="14.25" customHeight="1" s="33"/>
    <row r="706" ht="14.25" customHeight="1" s="33"/>
    <row r="707" ht="14.25" customHeight="1" s="33"/>
    <row r="708" ht="14.25" customHeight="1" s="33"/>
    <row r="709" ht="14.25" customHeight="1" s="33"/>
    <row r="710" ht="14.25" customHeight="1" s="33"/>
    <row r="711" ht="14.25" customHeight="1" s="33"/>
    <row r="712" ht="14.25" customHeight="1" s="33"/>
    <row r="713" ht="14.25" customHeight="1" s="33"/>
    <row r="714" ht="14.25" customHeight="1" s="33"/>
    <row r="715" ht="14.25" customHeight="1" s="33"/>
    <row r="716" ht="14.25" customHeight="1" s="33"/>
    <row r="717" ht="14.25" customHeight="1" s="33"/>
    <row r="718" ht="14.25" customHeight="1" s="33"/>
    <row r="719" ht="14.25" customHeight="1" s="33"/>
    <row r="720" ht="14.25" customHeight="1" s="33"/>
    <row r="721" ht="14.25" customHeight="1" s="33"/>
    <row r="722" ht="14.25" customHeight="1" s="33"/>
    <row r="723" ht="14.25" customHeight="1" s="33"/>
    <row r="724" ht="14.25" customHeight="1" s="33"/>
    <row r="725" ht="14.25" customHeight="1" s="33"/>
    <row r="726" ht="14.25" customHeight="1" s="33"/>
    <row r="727" ht="14.25" customHeight="1" s="33"/>
    <row r="728" ht="14.25" customHeight="1" s="33"/>
    <row r="729" ht="14.25" customHeight="1" s="33"/>
    <row r="730" ht="14.25" customHeight="1" s="33"/>
    <row r="731" ht="14.25" customHeight="1" s="33"/>
    <row r="732" ht="14.25" customHeight="1" s="33"/>
    <row r="733" ht="14.25" customHeight="1" s="33"/>
    <row r="734" ht="14.25" customHeight="1" s="33"/>
    <row r="735" ht="14.25" customHeight="1" s="33"/>
    <row r="736" ht="14.25" customHeight="1" s="33"/>
    <row r="737" ht="14.25" customHeight="1" s="33"/>
    <row r="738" ht="14.25" customHeight="1" s="33"/>
    <row r="739" ht="14.25" customHeight="1" s="33"/>
    <row r="740" ht="14.25" customHeight="1" s="33"/>
    <row r="741" ht="14.25" customHeight="1" s="33"/>
    <row r="742" ht="14.25" customHeight="1" s="33"/>
    <row r="743" ht="14.25" customHeight="1" s="33"/>
    <row r="744" ht="14.25" customHeight="1" s="33"/>
    <row r="745" ht="14.25" customHeight="1" s="33"/>
    <row r="746" ht="14.25" customHeight="1" s="33"/>
    <row r="747" ht="14.25" customHeight="1" s="33"/>
    <row r="748" ht="14.25" customHeight="1" s="33"/>
    <row r="749" ht="14.25" customHeight="1" s="33"/>
    <row r="750" ht="14.25" customHeight="1" s="33"/>
    <row r="751" ht="14.25" customHeight="1" s="33"/>
    <row r="752" ht="14.25" customHeight="1" s="33"/>
    <row r="753" ht="14.25" customHeight="1" s="33"/>
    <row r="754" ht="14.25" customHeight="1" s="33"/>
    <row r="755" ht="14.25" customHeight="1" s="33"/>
    <row r="756" ht="14.25" customHeight="1" s="33"/>
    <row r="757" ht="14.25" customHeight="1" s="33"/>
    <row r="758" ht="14.25" customHeight="1" s="33"/>
    <row r="759" ht="14.25" customHeight="1" s="33"/>
    <row r="760" ht="14.25" customHeight="1" s="33"/>
    <row r="761" ht="14.25" customHeight="1" s="33"/>
    <row r="762" ht="14.25" customHeight="1" s="33"/>
    <row r="763" ht="14.25" customHeight="1" s="33"/>
    <row r="764" ht="14.25" customHeight="1" s="33"/>
    <row r="765" ht="14.25" customHeight="1" s="33"/>
    <row r="766" ht="14.25" customHeight="1" s="33"/>
    <row r="767" ht="14.25" customHeight="1" s="33"/>
    <row r="768" ht="14.25" customHeight="1" s="33"/>
    <row r="769" ht="14.25" customHeight="1" s="33"/>
    <row r="770" ht="14.25" customHeight="1" s="33"/>
    <row r="771" ht="14.25" customHeight="1" s="33"/>
    <row r="772" ht="14.25" customHeight="1" s="33"/>
    <row r="773" ht="14.25" customHeight="1" s="33"/>
    <row r="774" ht="14.25" customHeight="1" s="33"/>
    <row r="775" ht="14.25" customHeight="1" s="33"/>
    <row r="776" ht="14.25" customHeight="1" s="33"/>
    <row r="777" ht="14.25" customHeight="1" s="33"/>
    <row r="778" ht="14.25" customHeight="1" s="33"/>
    <row r="779" ht="14.25" customHeight="1" s="33"/>
    <row r="780" ht="14.25" customHeight="1" s="33"/>
    <row r="781" ht="14.25" customHeight="1" s="33"/>
    <row r="782" ht="14.25" customHeight="1" s="33"/>
    <row r="783" ht="14.25" customHeight="1" s="33"/>
    <row r="784" ht="14.25" customHeight="1" s="33"/>
    <row r="785" ht="14.25" customHeight="1" s="33"/>
    <row r="786" ht="14.25" customHeight="1" s="33"/>
    <row r="787" ht="14.25" customHeight="1" s="33"/>
    <row r="788" ht="14.25" customHeight="1" s="33"/>
    <row r="789" ht="14.25" customHeight="1" s="33"/>
    <row r="790" ht="14.25" customHeight="1" s="33"/>
    <row r="791" ht="14.25" customHeight="1" s="33"/>
    <row r="792" ht="14.25" customHeight="1" s="33"/>
    <row r="793" ht="14.25" customHeight="1" s="33"/>
    <row r="794" ht="14.25" customHeight="1" s="33"/>
    <row r="795" ht="14.25" customHeight="1" s="33"/>
    <row r="796" ht="14.25" customHeight="1" s="33"/>
    <row r="797" ht="14.25" customHeight="1" s="33"/>
    <row r="798" ht="14.25" customHeight="1" s="33"/>
    <row r="799" ht="14.25" customHeight="1" s="33"/>
    <row r="800" ht="14.25" customHeight="1" s="33"/>
    <row r="801" ht="14.25" customHeight="1" s="33"/>
    <row r="802" ht="14.25" customHeight="1" s="33"/>
    <row r="803" ht="14.25" customHeight="1" s="33"/>
    <row r="804" ht="14.25" customHeight="1" s="33"/>
    <row r="805" ht="14.25" customHeight="1" s="33"/>
    <row r="806" ht="14.25" customHeight="1" s="33"/>
    <row r="807" ht="14.25" customHeight="1" s="33"/>
    <row r="808" ht="14.25" customHeight="1" s="33"/>
    <row r="809" ht="14.25" customHeight="1" s="33"/>
    <row r="810" ht="14.25" customHeight="1" s="33"/>
    <row r="811" ht="14.25" customHeight="1" s="33"/>
    <row r="812" ht="14.25" customHeight="1" s="33"/>
    <row r="813" ht="14.25" customHeight="1" s="33"/>
    <row r="814" ht="14.25" customHeight="1" s="33"/>
    <row r="815" ht="14.25" customHeight="1" s="33"/>
    <row r="816" ht="14.25" customHeight="1" s="33"/>
    <row r="817" ht="14.25" customHeight="1" s="33"/>
    <row r="818" ht="14.25" customHeight="1" s="33"/>
    <row r="819" ht="14.25" customHeight="1" s="33"/>
    <row r="820" ht="14.25" customHeight="1" s="33"/>
    <row r="821" ht="14.25" customHeight="1" s="33"/>
    <row r="822" ht="14.25" customHeight="1" s="33"/>
    <row r="823" ht="14.25" customHeight="1" s="33"/>
    <row r="824" ht="14.25" customHeight="1" s="33"/>
    <row r="825" ht="14.25" customHeight="1" s="33"/>
    <row r="826" ht="14.25" customHeight="1" s="33"/>
    <row r="827" ht="14.25" customHeight="1" s="33"/>
    <row r="828" ht="14.25" customHeight="1" s="33"/>
    <row r="829" ht="14.25" customHeight="1" s="33"/>
    <row r="830" ht="14.25" customHeight="1" s="33"/>
    <row r="831" ht="14.25" customHeight="1" s="33"/>
    <row r="832" ht="14.25" customHeight="1" s="33"/>
    <row r="833" ht="14.25" customHeight="1" s="33"/>
    <row r="834" ht="14.25" customHeight="1" s="33"/>
    <row r="835" ht="14.25" customHeight="1" s="33"/>
    <row r="836" ht="14.25" customHeight="1" s="33"/>
    <row r="837" ht="14.25" customHeight="1" s="33"/>
    <row r="838" ht="14.25" customHeight="1" s="33"/>
    <row r="839" ht="14.25" customHeight="1" s="33"/>
    <row r="840" ht="14.25" customHeight="1" s="33"/>
    <row r="841" ht="14.25" customHeight="1" s="33"/>
    <row r="842" ht="14.25" customHeight="1" s="33"/>
    <row r="843" ht="14.25" customHeight="1" s="33"/>
    <row r="844" ht="14.25" customHeight="1" s="33"/>
    <row r="845" ht="14.25" customHeight="1" s="33"/>
    <row r="846" ht="14.25" customHeight="1" s="33"/>
    <row r="847" ht="14.25" customHeight="1" s="33"/>
    <row r="848" ht="14.25" customHeight="1" s="33"/>
    <row r="849" ht="14.25" customHeight="1" s="33"/>
    <row r="850" ht="14.25" customHeight="1" s="33"/>
    <row r="851" ht="14.25" customHeight="1" s="33"/>
    <row r="852" ht="14.25" customHeight="1" s="33"/>
    <row r="853" ht="14.25" customHeight="1" s="33"/>
    <row r="854" ht="14.25" customHeight="1" s="33"/>
    <row r="855" ht="14.25" customHeight="1" s="33"/>
    <row r="856" ht="14.25" customHeight="1" s="33"/>
    <row r="857" ht="14.25" customHeight="1" s="33"/>
    <row r="858" ht="14.25" customHeight="1" s="33"/>
    <row r="859" ht="14.25" customHeight="1" s="33"/>
    <row r="860" ht="14.25" customHeight="1" s="33"/>
    <row r="861" ht="14.25" customHeight="1" s="33"/>
    <row r="862" ht="14.25" customHeight="1" s="33"/>
    <row r="863" ht="14.25" customHeight="1" s="33"/>
    <row r="864" ht="14.25" customHeight="1" s="33"/>
    <row r="865" ht="14.25" customHeight="1" s="33"/>
    <row r="866" ht="14.25" customHeight="1" s="33"/>
    <row r="867" ht="14.25" customHeight="1" s="33"/>
    <row r="868" ht="14.25" customHeight="1" s="33"/>
    <row r="869" ht="14.25" customHeight="1" s="33"/>
    <row r="870" ht="14.25" customHeight="1" s="33"/>
    <row r="871" ht="14.25" customHeight="1" s="33"/>
    <row r="872" ht="14.25" customHeight="1" s="33"/>
    <row r="873" ht="14.25" customHeight="1" s="33"/>
    <row r="874" ht="14.25" customHeight="1" s="33"/>
    <row r="875" ht="14.25" customHeight="1" s="33"/>
    <row r="876" ht="14.25" customHeight="1" s="33"/>
    <row r="877" ht="14.25" customHeight="1" s="33"/>
    <row r="878" ht="14.25" customHeight="1" s="33"/>
    <row r="879" ht="14.25" customHeight="1" s="33"/>
    <row r="880" ht="14.25" customHeight="1" s="33"/>
    <row r="881" ht="14.25" customHeight="1" s="33"/>
    <row r="882" ht="14.25" customHeight="1" s="33"/>
    <row r="883" ht="14.25" customHeight="1" s="33"/>
    <row r="884" ht="14.25" customHeight="1" s="33"/>
    <row r="885" ht="14.25" customHeight="1" s="33"/>
    <row r="886" ht="14.25" customHeight="1" s="33"/>
    <row r="887" ht="14.25" customHeight="1" s="33"/>
    <row r="888" ht="14.25" customHeight="1" s="33"/>
    <row r="889" ht="14.25" customHeight="1" s="33"/>
    <row r="890" ht="14.25" customHeight="1" s="33"/>
    <row r="891" ht="14.25" customHeight="1" s="33"/>
    <row r="892" ht="14.25" customHeight="1" s="33"/>
    <row r="893" ht="14.25" customHeight="1" s="33"/>
    <row r="894" ht="14.25" customHeight="1" s="33"/>
    <row r="895" ht="14.25" customHeight="1" s="33"/>
    <row r="896" ht="14.25" customHeight="1" s="33"/>
    <row r="897" ht="14.25" customHeight="1" s="33"/>
    <row r="898" ht="14.25" customHeight="1" s="33"/>
    <row r="899" ht="14.25" customHeight="1" s="33"/>
    <row r="900" ht="14.25" customHeight="1" s="33"/>
    <row r="901" ht="14.25" customHeight="1" s="33"/>
    <row r="902" ht="14.25" customHeight="1" s="33"/>
    <row r="903" ht="14.25" customHeight="1" s="33"/>
    <row r="904" ht="14.25" customHeight="1" s="33"/>
    <row r="905" ht="14.25" customHeight="1" s="33"/>
    <row r="906" ht="14.25" customHeight="1" s="33"/>
    <row r="907" ht="14.25" customHeight="1" s="33"/>
    <row r="908" ht="14.25" customHeight="1" s="33"/>
    <row r="909" ht="14.25" customHeight="1" s="33"/>
    <row r="910" ht="14.25" customHeight="1" s="33"/>
    <row r="911" ht="14.25" customHeight="1" s="33"/>
    <row r="912" ht="14.25" customHeight="1" s="33"/>
    <row r="913" ht="14.25" customHeight="1" s="33"/>
    <row r="914" ht="14.25" customHeight="1" s="33"/>
    <row r="915" ht="14.25" customHeight="1" s="33"/>
    <row r="916" ht="14.25" customHeight="1" s="33"/>
    <row r="917" ht="14.25" customHeight="1" s="33"/>
    <row r="918" ht="14.25" customHeight="1" s="33"/>
    <row r="919" ht="14.25" customHeight="1" s="33"/>
    <row r="920" ht="14.25" customHeight="1" s="33"/>
    <row r="921" ht="14.25" customHeight="1" s="33"/>
    <row r="922" ht="14.25" customHeight="1" s="33"/>
    <row r="923" ht="14.25" customHeight="1" s="33"/>
    <row r="924" ht="14.25" customHeight="1" s="33"/>
    <row r="925" ht="14.25" customHeight="1" s="33"/>
    <row r="926" ht="14.25" customHeight="1" s="33"/>
    <row r="927" ht="14.25" customHeight="1" s="33"/>
    <row r="928" ht="14.25" customHeight="1" s="33"/>
    <row r="929" ht="14.25" customHeight="1" s="33"/>
    <row r="930" ht="14.25" customHeight="1" s="33"/>
    <row r="931" ht="14.25" customHeight="1" s="33"/>
    <row r="932" ht="14.25" customHeight="1" s="33"/>
    <row r="933" ht="14.25" customHeight="1" s="33"/>
    <row r="934" ht="14.25" customHeight="1" s="33"/>
    <row r="935" ht="14.25" customHeight="1" s="33"/>
    <row r="936" ht="14.25" customHeight="1" s="33"/>
    <row r="937" ht="14.25" customHeight="1" s="33"/>
    <row r="938" ht="14.25" customHeight="1" s="33"/>
    <row r="939" ht="14.25" customHeight="1" s="33"/>
    <row r="940" ht="14.25" customHeight="1" s="33"/>
    <row r="941" ht="14.25" customHeight="1" s="33"/>
    <row r="942" ht="14.25" customHeight="1" s="33"/>
    <row r="943" ht="14.25" customHeight="1" s="33"/>
    <row r="944" ht="14.25" customHeight="1" s="33"/>
    <row r="945" ht="14.25" customHeight="1" s="33"/>
    <row r="946" ht="14.25" customHeight="1" s="33"/>
    <row r="947" ht="14.25" customHeight="1" s="33"/>
    <row r="948" ht="14.25" customHeight="1" s="33"/>
    <row r="949" ht="14.25" customHeight="1" s="33"/>
    <row r="950" ht="14.25" customHeight="1" s="33"/>
    <row r="951" ht="14.25" customHeight="1" s="33"/>
    <row r="952" ht="14.25" customHeight="1" s="33"/>
    <row r="953" ht="14.25" customHeight="1" s="33"/>
    <row r="954" ht="14.25" customHeight="1" s="33"/>
    <row r="955" ht="14.25" customHeight="1" s="33"/>
    <row r="956" ht="14.25" customHeight="1" s="33"/>
    <row r="957" ht="14.25" customHeight="1" s="33"/>
    <row r="958" ht="14.25" customHeight="1" s="33"/>
    <row r="959" ht="14.25" customHeight="1" s="33"/>
    <row r="960" ht="14.25" customHeight="1" s="33"/>
    <row r="961" ht="14.25" customHeight="1" s="33"/>
    <row r="962" ht="14.25" customHeight="1" s="33"/>
    <row r="963" ht="14.25" customHeight="1" s="33"/>
    <row r="964" ht="14.25" customHeight="1" s="33"/>
    <row r="965" ht="14.25" customHeight="1" s="33"/>
    <row r="966" ht="14.25" customHeight="1" s="33"/>
    <row r="967" ht="14.25" customHeight="1" s="33"/>
    <row r="968" ht="14.25" customHeight="1" s="33"/>
    <row r="969" ht="14.25" customHeight="1" s="33"/>
    <row r="970" ht="14.25" customHeight="1" s="33"/>
    <row r="971" ht="14.25" customHeight="1" s="33"/>
    <row r="972" ht="14.25" customHeight="1" s="33"/>
    <row r="973" ht="14.25" customHeight="1" s="33"/>
    <row r="974" ht="14.25" customHeight="1" s="33"/>
    <row r="975" ht="14.25" customHeight="1" s="33"/>
    <row r="976" ht="14.25" customHeight="1" s="33"/>
    <row r="977" ht="14.25" customHeight="1" s="33"/>
    <row r="978" ht="14.25" customHeight="1" s="33"/>
    <row r="979" ht="14.25" customHeight="1" s="33"/>
    <row r="980" ht="14.25" customHeight="1" s="33"/>
    <row r="981" ht="14.25" customHeight="1" s="33"/>
    <row r="982" ht="14.25" customHeight="1" s="33"/>
    <row r="983" ht="14.25" customHeight="1" s="33"/>
    <row r="984" ht="14.25" customHeight="1" s="33"/>
    <row r="985" ht="14.25" customHeight="1" s="33"/>
    <row r="986" ht="14.25" customHeight="1" s="33"/>
    <row r="987" ht="14.25" customHeight="1" s="33"/>
    <row r="988" ht="14.25" customHeight="1" s="33"/>
    <row r="989" ht="14.25" customHeight="1" s="33"/>
    <row r="990" ht="14.25" customHeight="1" s="33"/>
    <row r="991" ht="14.25" customHeight="1" s="33"/>
    <row r="992" ht="14.25" customHeight="1" s="33"/>
    <row r="993" ht="14.25" customHeight="1" s="33"/>
    <row r="994" ht="14.25" customHeight="1" s="33"/>
    <row r="995" ht="14.25" customHeight="1" s="33"/>
    <row r="996" ht="14.25" customHeight="1" s="33"/>
    <row r="997" ht="14.25" customHeight="1" s="33"/>
    <row r="998" ht="14.25" customHeight="1" s="33"/>
    <row r="999" ht="14.25" customHeight="1" s="33"/>
    <row r="1000" ht="14.25" customHeight="1" s="33"/>
  </sheetData>
  <mergeCells count="1">
    <mergeCell ref="A1:D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2026-04-08T08:10:59Z</dcterms:created>
  <dcterms:modified xsi:type="dcterms:W3CDTF">2026-07-17T08:13:05Z</dcterms:modified>
</cp:coreProperties>
</file>